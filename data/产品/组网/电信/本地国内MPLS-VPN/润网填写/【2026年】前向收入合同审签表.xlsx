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codeName="ThisWorkbook"/>
  <bookViews>
    <workbookView windowWidth="21600" windowHeight="9990"/>
  </bookViews>
  <sheets>
    <sheet name="【2026年】前向收入合同审签表" sheetId="2" r:id="rId1"/>
    <sheet name="【2026年】集团产品与集团产品收入项配置表" sheetId="3" r:id="rId2"/>
    <sheet name="税率配置表&amp;利润中心" sheetId="4" r:id="rId3"/>
    <sheet name="业务模式和列收方式判断规则" sheetId="5" state="hidden" r:id="rId4"/>
  </sheets>
  <definedNames>
    <definedName name="_xlnm._FilterDatabase" localSheetId="1" hidden="1">【2026年】集团产品与集团产品收入项配置表!$A$1:$V$837</definedName>
    <definedName name="_xlnm._FilterDatabase" localSheetId="2" hidden="1">'税率配置表&amp;利润中心'!$A$1:$G$678</definedName>
    <definedName name="时点法">【2026年】前向收入合同审签表!#REF!</definedName>
    <definedName name="时段法">【2026年】前向收入合同审签表!#REF!</definedName>
  </definedNames>
  <calcPr calcId="144525"/>
</workbook>
</file>

<file path=xl/sharedStrings.xml><?xml version="1.0" encoding="utf-8"?>
<sst xmlns="http://schemas.openxmlformats.org/spreadsheetml/2006/main" count="6848" uniqueCount="1711">
  <si>
    <t>前向收入合同审签表（2026）</t>
  </si>
  <si>
    <t>收入确认计划</t>
  </si>
  <si>
    <t>必填</t>
  </si>
  <si>
    <t>选择填列</t>
  </si>
  <si>
    <t>必选</t>
  </si>
  <si>
    <r>
      <rPr>
        <sz val="10"/>
        <color theme="1"/>
        <rFont val="微软雅黑"/>
        <charset val="134"/>
      </rPr>
      <t xml:space="preserve">自动带出
</t>
    </r>
    <r>
      <rPr>
        <sz val="10"/>
        <color rgb="FFFF0000"/>
        <rFont val="微软雅黑"/>
        <charset val="134"/>
      </rPr>
      <t>可修改</t>
    </r>
  </si>
  <si>
    <t>自动带出</t>
  </si>
  <si>
    <r>
      <rPr>
        <sz val="10"/>
        <color theme="1"/>
        <rFont val="微软雅黑"/>
        <charset val="134"/>
      </rPr>
      <t>自动带出</t>
    </r>
    <r>
      <rPr>
        <sz val="10"/>
        <color rgb="FFC00000"/>
        <rFont val="微软雅黑"/>
        <charset val="134"/>
      </rPr>
      <t xml:space="preserve">
</t>
    </r>
    <r>
      <rPr>
        <sz val="10"/>
        <color rgb="FFFF0000"/>
        <rFont val="微软雅黑"/>
        <charset val="134"/>
      </rPr>
      <t>可修改</t>
    </r>
  </si>
  <si>
    <t>公式自动算出</t>
  </si>
  <si>
    <r>
      <rPr>
        <b/>
        <sz val="10"/>
        <color rgb="FFC00000"/>
        <rFont val="等线"/>
        <charset val="134"/>
        <scheme val="minor"/>
      </rPr>
      <t xml:space="preserve">      </t>
    </r>
    <r>
      <rPr>
        <b/>
        <sz val="10"/>
        <color rgb="FFFF0000"/>
        <rFont val="微软雅黑"/>
        <charset val="134"/>
      </rPr>
      <t>非周期性</t>
    </r>
    <r>
      <rPr>
        <b/>
        <sz val="10"/>
        <color indexed="60"/>
        <rFont val="宋体"/>
        <charset val="134"/>
      </rPr>
      <t xml:space="preserve">
</t>
    </r>
    <r>
      <rPr>
        <b/>
        <sz val="10"/>
        <color theme="1"/>
        <rFont val="微软雅黑"/>
        <charset val="134"/>
      </rPr>
      <t>序号</t>
    </r>
  </si>
  <si>
    <t>业务模式与列收方式</t>
  </si>
  <si>
    <t>预计确认日期
YYYY-MM-DD</t>
  </si>
  <si>
    <t>集团产品名称</t>
  </si>
  <si>
    <t>集团产品收入项</t>
  </si>
  <si>
    <r>
      <rPr>
        <b/>
        <sz val="10"/>
        <color indexed="8"/>
        <rFont val="微软雅黑"/>
        <charset val="134"/>
      </rPr>
      <t>速率/带宽
填写提示
（在G列）</t>
    </r>
    <r>
      <rPr>
        <b/>
        <sz val="10"/>
        <color rgb="FFFF0000"/>
        <rFont val="微软雅黑"/>
        <charset val="134"/>
      </rPr>
      <t>→</t>
    </r>
  </si>
  <si>
    <r>
      <rPr>
        <b/>
        <sz val="10"/>
        <color indexed="8"/>
        <rFont val="微软雅黑"/>
        <charset val="134"/>
      </rPr>
      <t xml:space="preserve">速率/带宽
</t>
    </r>
    <r>
      <rPr>
        <b/>
        <sz val="10"/>
        <color rgb="FFFF0000"/>
        <rFont val="微软雅黑"/>
        <charset val="134"/>
      </rPr>
      <t>收入项为电路及专线必填</t>
    </r>
  </si>
  <si>
    <r>
      <rPr>
        <b/>
        <sz val="10"/>
        <color indexed="8"/>
        <rFont val="微软雅黑"/>
        <charset val="134"/>
      </rPr>
      <t>折扣率
填写提示
（在I列）</t>
    </r>
    <r>
      <rPr>
        <b/>
        <sz val="10"/>
        <color rgb="FFFF0000"/>
        <rFont val="微软雅黑"/>
        <charset val="134"/>
      </rPr>
      <t>→</t>
    </r>
  </si>
  <si>
    <r>
      <rPr>
        <b/>
        <sz val="10"/>
        <color indexed="8"/>
        <rFont val="微软雅黑"/>
        <charset val="134"/>
      </rPr>
      <t xml:space="preserve">折扣率
</t>
    </r>
    <r>
      <rPr>
        <b/>
        <sz val="10"/>
        <color rgb="FFFF0000"/>
        <rFont val="微软雅黑"/>
        <charset val="134"/>
      </rPr>
      <t>物联网卡必填</t>
    </r>
  </si>
  <si>
    <t>税率</t>
  </si>
  <si>
    <t>计划确认总金额
(含税)</t>
  </si>
  <si>
    <r>
      <rPr>
        <b/>
        <sz val="10"/>
        <color rgb="FF000000"/>
        <rFont val="微软雅黑"/>
        <charset val="134"/>
      </rPr>
      <t>填列跨省省份名称</t>
    </r>
    <r>
      <rPr>
        <b/>
        <sz val="10"/>
        <color rgb="FF993300"/>
        <rFont val="微软雅黑"/>
        <charset val="134"/>
      </rPr>
      <t xml:space="preserve">
</t>
    </r>
    <r>
      <rPr>
        <b/>
        <sz val="10"/>
        <color rgb="FF333399"/>
        <rFont val="微软雅黑"/>
        <charset val="134"/>
      </rPr>
      <t xml:space="preserve">按分摊金额分开填列
</t>
    </r>
    <r>
      <rPr>
        <b/>
        <sz val="10"/>
        <color rgb="FFFF0000"/>
        <rFont val="微软雅黑"/>
        <charset val="134"/>
      </rPr>
      <t>跨省电路业务必填</t>
    </r>
  </si>
  <si>
    <r>
      <rPr>
        <b/>
        <sz val="10"/>
        <color rgb="FF000000"/>
        <rFont val="微软雅黑"/>
        <charset val="134"/>
      </rPr>
      <t xml:space="preserve">业务收入对象分类
</t>
    </r>
    <r>
      <rPr>
        <b/>
        <sz val="10"/>
        <color rgb="FFFF0000"/>
        <rFont val="微软雅黑"/>
        <charset val="134"/>
      </rPr>
      <t>标品不触发应收任务单</t>
    </r>
  </si>
  <si>
    <t>是否
网元开通</t>
  </si>
  <si>
    <t>是否CRM
确认收入</t>
  </si>
  <si>
    <r>
      <rPr>
        <b/>
        <sz val="10"/>
        <color rgb="FFC00000"/>
        <rFont val="等线"/>
        <charset val="134"/>
        <scheme val="minor"/>
      </rPr>
      <t xml:space="preserve">   </t>
    </r>
    <r>
      <rPr>
        <b/>
        <sz val="10"/>
        <color rgb="FFFF0000"/>
        <rFont val="微软雅黑"/>
        <charset val="134"/>
      </rPr>
      <t>周期性</t>
    </r>
    <r>
      <rPr>
        <b/>
        <sz val="10"/>
        <color indexed="60"/>
        <rFont val="宋体"/>
        <charset val="134"/>
      </rPr>
      <t xml:space="preserve">
</t>
    </r>
    <r>
      <rPr>
        <b/>
        <sz val="10"/>
        <color theme="1"/>
        <rFont val="微软雅黑"/>
        <charset val="134"/>
      </rPr>
      <t>序号</t>
    </r>
  </si>
  <si>
    <t>起始日期
YYYY-MM-DD</t>
  </si>
  <si>
    <r>
      <rPr>
        <b/>
        <sz val="10"/>
        <color indexed="8"/>
        <rFont val="微软雅黑"/>
        <charset val="134"/>
      </rPr>
      <t>速率/带宽
填写提示
(在T列）</t>
    </r>
    <r>
      <rPr>
        <b/>
        <sz val="10"/>
        <color rgb="FFFF0000"/>
        <rFont val="宋体"/>
        <charset val="134"/>
      </rPr>
      <t>→</t>
    </r>
  </si>
  <si>
    <r>
      <rPr>
        <b/>
        <sz val="10"/>
        <color indexed="8"/>
        <rFont val="微软雅黑"/>
        <charset val="134"/>
      </rPr>
      <t>折扣率
填写提示
(在V列）</t>
    </r>
    <r>
      <rPr>
        <b/>
        <sz val="10"/>
        <color rgb="FFFF0000"/>
        <rFont val="宋体"/>
        <charset val="134"/>
      </rPr>
      <t>→</t>
    </r>
  </si>
  <si>
    <t>收入确认
总时长
（月）</t>
  </si>
  <si>
    <t>每月单价</t>
  </si>
  <si>
    <t>产品数量</t>
  </si>
  <si>
    <t>确认总金额
(含税)</t>
  </si>
  <si>
    <t>服务整合、总额法、时点法</t>
  </si>
  <si>
    <t>MSTP-本地电路</t>
  </si>
  <si>
    <t>服务整合、总额法、时段法</t>
  </si>
  <si>
    <t>合 计</t>
  </si>
  <si>
    <t>是否有
履约保证金</t>
  </si>
  <si>
    <t>是否有
维保要求</t>
  </si>
  <si>
    <t>是否有
审计条款</t>
  </si>
  <si>
    <r>
      <rPr>
        <b/>
        <sz val="10"/>
        <color rgb="FFFF0000"/>
        <rFont val="微软雅黑"/>
        <charset val="134"/>
      </rPr>
      <t>发票种类</t>
    </r>
    <r>
      <rPr>
        <b/>
        <u/>
        <sz val="10"/>
        <color rgb="FFFF0000"/>
        <rFont val="微软雅黑"/>
        <charset val="134"/>
      </rPr>
      <t xml:space="preserve">
</t>
    </r>
    <r>
      <rPr>
        <b/>
        <sz val="10"/>
        <color rgb="FFFF0000"/>
        <rFont val="微软雅黑"/>
        <charset val="134"/>
      </rPr>
      <t>（必选）</t>
    </r>
  </si>
  <si>
    <t>增值税专用发票</t>
  </si>
  <si>
    <t>该合同实际
利润归属单位
（必选）</t>
  </si>
  <si>
    <t>智慧商务部/号百公司</t>
  </si>
  <si>
    <t>收款计划</t>
  </si>
  <si>
    <t>按比例收款
时必填</t>
  </si>
  <si>
    <r>
      <rPr>
        <b/>
        <sz val="10"/>
        <color rgb="FFC00000"/>
        <rFont val="等线"/>
        <charset val="134"/>
        <scheme val="minor"/>
      </rPr>
      <t xml:space="preserve">     </t>
    </r>
    <r>
      <rPr>
        <b/>
        <sz val="10"/>
        <color rgb="FFFF0000"/>
        <rFont val="等线"/>
        <charset val="134"/>
        <scheme val="minor"/>
      </rPr>
      <t xml:space="preserve"> </t>
    </r>
    <r>
      <rPr>
        <b/>
        <sz val="10"/>
        <color rgb="FFFF0000"/>
        <rFont val="微软雅黑"/>
        <charset val="134"/>
      </rPr>
      <t>非周期性</t>
    </r>
    <r>
      <rPr>
        <b/>
        <sz val="10"/>
        <color indexed="60"/>
        <rFont val="宋体"/>
        <charset val="134"/>
      </rPr>
      <t xml:space="preserve">
</t>
    </r>
    <r>
      <rPr>
        <b/>
        <sz val="10"/>
        <color rgb="FFFF0000"/>
        <rFont val="微软雅黑"/>
        <charset val="134"/>
      </rPr>
      <t>序号</t>
    </r>
  </si>
  <si>
    <t>预计收款日期
YYYY-MM-DD</t>
  </si>
  <si>
    <t>非周期
收款方式</t>
  </si>
  <si>
    <t>第N次</t>
  </si>
  <si>
    <t>履行要求</t>
  </si>
  <si>
    <t>约定收款
比例</t>
  </si>
  <si>
    <t>约定收款
金额</t>
  </si>
  <si>
    <t>收款
触发系统</t>
  </si>
  <si>
    <r>
      <rPr>
        <b/>
        <sz val="10"/>
        <color rgb="FFC00000"/>
        <rFont val="等线"/>
        <charset val="134"/>
        <scheme val="minor"/>
      </rPr>
      <t xml:space="preserve">   </t>
    </r>
    <r>
      <rPr>
        <b/>
        <sz val="10"/>
        <color rgb="FFFF0000"/>
        <rFont val="微软雅黑"/>
        <charset val="134"/>
      </rPr>
      <t>周期性</t>
    </r>
    <r>
      <rPr>
        <b/>
        <sz val="10"/>
        <color indexed="60"/>
        <rFont val="宋体"/>
        <charset val="134"/>
      </rPr>
      <t xml:space="preserve">
</t>
    </r>
    <r>
      <rPr>
        <b/>
        <sz val="10"/>
        <color rgb="FFFF0000"/>
        <rFont val="微软雅黑"/>
        <charset val="134"/>
      </rPr>
      <t>序号</t>
    </r>
  </si>
  <si>
    <t>预计收款
起始日期
YYYY-MM-DD</t>
  </si>
  <si>
    <t>收款频率
（周期方式）</t>
  </si>
  <si>
    <t>期数</t>
  </si>
  <si>
    <t>每期金额</t>
  </si>
  <si>
    <t>金额合计</t>
  </si>
  <si>
    <t>填表人：
（必填）</t>
  </si>
  <si>
    <t>王照龙</t>
  </si>
  <si>
    <t>联系方式：
（必填）</t>
  </si>
  <si>
    <t>02152927531</t>
  </si>
  <si>
    <t>项目立项人:
（必填）</t>
  </si>
  <si>
    <t>填表说明：</t>
  </si>
  <si>
    <t>1、若涉及多项产品收入项的请分行填列，小计金额需与合同金额一致。</t>
  </si>
  <si>
    <t>2、若合同履约信息即有非周期性也有周期性，则在相应表格中填列。</t>
  </si>
  <si>
    <t>3、若该合同有跨利润中心的情况，请填列“该合同实际利润归属单位”信息，不然合同解析利润中心默认为合同发起单位。</t>
  </si>
  <si>
    <t>4、若非周期收款方式为按金额收款的，表格中约定收款比例可不填列。</t>
  </si>
  <si>
    <t>5、“是否有履约保证金”、“是否有维保要求”及“是否有审计条款”默认为“否”，若该合同涉及此3项有实际发生的请改为“是”并附相应情况说明。</t>
  </si>
  <si>
    <t>6、由于目前部分产品较个性化，不具备标准化资费的条件，无法走CRM系统开账，而通过聚焦系统开账会虚增应收账款，因此选“非CRM确认收入”的合同，其实际履约信息若为周期性的，一律解析为非周期性。</t>
  </si>
  <si>
    <t>7、集团要求按月确认收入的为收入周期性，除此之外均为非周期性收入；而收款方式的频率若为按月、按季、按半年、按年则均为周期性收款。</t>
  </si>
  <si>
    <t>8、集团要求涉及电路及专线类收入项的话，速率及带宽为必填，涉及物联网收入项的话，折扣率为必填。</t>
  </si>
  <si>
    <t>9、跨省电路业务新增“跨省省份”列，请按分摊金额分开填列。</t>
  </si>
  <si>
    <t>产品大类编码（修订）</t>
  </si>
  <si>
    <t>产品大类（修订）</t>
  </si>
  <si>
    <t>产品编码</t>
  </si>
  <si>
    <t>产品名称</t>
  </si>
  <si>
    <t>是否ICT产品</t>
  </si>
  <si>
    <t>是否标品</t>
  </si>
  <si>
    <t>单位</t>
  </si>
  <si>
    <t>注释</t>
  </si>
  <si>
    <t>产品类型</t>
  </si>
  <si>
    <t>产品类别</t>
  </si>
  <si>
    <t>平台类型编码</t>
  </si>
  <si>
    <t>平台类型
名称</t>
  </si>
  <si>
    <t>默认带出的产品收入项2026</t>
  </si>
  <si>
    <t>默认带出的产品收入项名称2026
（ICT合同中含IDC、组网专线、物联网、5G定制网内容需调整为“项目型”）</t>
  </si>
  <si>
    <t>可选产品收入项范围编码2026</t>
  </si>
  <si>
    <t>可选产品收入项范围2026</t>
  </si>
  <si>
    <t>是否网元</t>
  </si>
  <si>
    <t>是否触发CRM</t>
  </si>
  <si>
    <t>速率/带宽
填写提示</t>
  </si>
  <si>
    <t>折扣率
填写提示</t>
  </si>
  <si>
    <t>JTSJCPDL201915</t>
  </si>
  <si>
    <t>云网融合业务</t>
  </si>
  <si>
    <t>JTSJCP02222</t>
  </si>
  <si>
    <t>教育专网（统筹省级）</t>
  </si>
  <si>
    <t>是</t>
  </si>
  <si>
    <t>标品</t>
  </si>
  <si>
    <t>云业务</t>
  </si>
  <si>
    <t>ICT</t>
  </si>
  <si>
    <t>专线接入成本</t>
  </si>
  <si>
    <t>3077(标）、3110(项)</t>
  </si>
  <si>
    <t>产业数字化-资源型服务-组网专线-标品型-普通组网专线-普通组网专线-其他</t>
  </si>
  <si>
    <t>产业数字化-资源型服务-组网专线-标品型-普通组网专线-其他</t>
  </si>
  <si>
    <t>需填写速率/带宽</t>
  </si>
  <si>
    <t>无需填写折扣率</t>
  </si>
  <si>
    <t>JTSJCP02223</t>
  </si>
  <si>
    <t>FIRST金融专网</t>
  </si>
  <si>
    <t>JTSJCP02225</t>
  </si>
  <si>
    <t>视频专网（统筹省级）</t>
  </si>
  <si>
    <t>JTSJCP02227</t>
  </si>
  <si>
    <t>云专网</t>
  </si>
  <si>
    <t>JTSJCP02226</t>
  </si>
  <si>
    <t>物联专网（统筹省级）</t>
  </si>
  <si>
    <t>产业数字化-资源型服务-物联网-项目型物联网-其他</t>
  </si>
  <si>
    <t>JTSJCP02228</t>
  </si>
  <si>
    <t>智能专线</t>
  </si>
  <si>
    <t>产业数字化-ICT业务-行业云产品-项目中公有云产品-IaaS-云网服务-其他-自研</t>
  </si>
  <si>
    <t>JTSJCPDL201914</t>
  </si>
  <si>
    <t>其它业务</t>
  </si>
  <si>
    <t>JTSJCP03007</t>
  </si>
  <si>
    <t>房地产出租</t>
  </si>
  <si>
    <t>否</t>
  </si>
  <si>
    <t>其他</t>
  </si>
  <si>
    <t>-</t>
  </si>
  <si>
    <t>房屋租赁</t>
  </si>
  <si>
    <t>9%、5%</t>
  </si>
  <si>
    <t>其他-固网其他-出租房产场地收入</t>
  </si>
  <si>
    <t>无需填写速率/带宽</t>
  </si>
  <si>
    <t>JTSJCPDL201913</t>
  </si>
  <si>
    <t>其他固网业务</t>
  </si>
  <si>
    <t>JTSJCP02078</t>
  </si>
  <si>
    <t>设备出售</t>
  </si>
  <si>
    <t>设备</t>
  </si>
  <si>
    <t>外延业务</t>
  </si>
  <si>
    <t>其他-固网其他-实物商品销售-系统集成-其他</t>
  </si>
  <si>
    <t>JTSJCP02043</t>
  </si>
  <si>
    <t>普通电话</t>
  </si>
  <si>
    <t>部</t>
  </si>
  <si>
    <t>电话数</t>
  </si>
  <si>
    <t>固网及智慧家庭服务-固定电话-固网语音</t>
  </si>
  <si>
    <t>JTSJCP02044</t>
  </si>
  <si>
    <t>语音中继线</t>
  </si>
  <si>
    <t>条</t>
  </si>
  <si>
    <t>线路数</t>
  </si>
  <si>
    <t>本地SDH电路</t>
  </si>
  <si>
    <t>JTSJCP02045</t>
  </si>
  <si>
    <t>ISDN</t>
  </si>
  <si>
    <t>JTSJCP02053</t>
  </si>
  <si>
    <t>拨号上网</t>
  </si>
  <si>
    <t>专线</t>
  </si>
  <si>
    <t>ADSL终端接入</t>
  </si>
  <si>
    <t>固网及智慧家庭服务-互联网宽带接入-普通宽带-宽带接入收入-其他</t>
  </si>
  <si>
    <t>1309;1310;1311;1312</t>
  </si>
  <si>
    <t>固网及智慧家庭服务-互联网宽带接入-普通宽带-宽带接入收入-FTTH/O;固网及智慧家庭服务-互联网宽带接入-普通宽带-宽带接入收入-ADSL;固网及智慧家庭服务-互联网宽带接入-普通宽带-宽带接入收入-LAN;固网及智慧家庭服务-互联网宽带接入-普通宽带-宽带接入收入-其他</t>
  </si>
  <si>
    <t>JTSJCP02054</t>
  </si>
  <si>
    <t>WLAN上网</t>
  </si>
  <si>
    <t>LAN终端接入</t>
  </si>
  <si>
    <t>JTSJCP02072</t>
  </si>
  <si>
    <t>设备租赁</t>
  </si>
  <si>
    <t>台</t>
  </si>
  <si>
    <t>设备数</t>
  </si>
  <si>
    <t>固网及智慧家庭服务-其他固网通信服务-固网通信网络资源服务收入-固网其他网络资源服务收入</t>
  </si>
  <si>
    <t>JTSJCP02073</t>
  </si>
  <si>
    <t>通信管道出租</t>
  </si>
  <si>
    <t>电路</t>
  </si>
  <si>
    <t>1414;3109;</t>
  </si>
  <si>
    <t>固网及智慧家庭服务-其他固网通信服务-固网通信网络资源服务收入-固网其他网络资源服务收入;产业数字化-资源型服务-组网专线-项目型组网专线-普通组网专线-国际及港澳台网元业务</t>
  </si>
  <si>
    <t>JTSJCP02077</t>
  </si>
  <si>
    <t>SI结算支出</t>
  </si>
  <si>
    <t>行业应用</t>
  </si>
  <si>
    <t>产业数字化-ICT业务-行业平台及应用-通用信息化标品-协同通信</t>
  </si>
  <si>
    <t>JTSJCP02079</t>
  </si>
  <si>
    <t>固网其他业务</t>
  </si>
  <si>
    <t>其他-固网其他</t>
  </si>
  <si>
    <t>JTSJCP02040</t>
  </si>
  <si>
    <t>爱wifi</t>
  </si>
  <si>
    <t>个</t>
  </si>
  <si>
    <t>热点数</t>
  </si>
  <si>
    <t>固网及智慧家庭服务-固定电话-固网增值业务-其他-CP/SP结算支出</t>
  </si>
  <si>
    <t>JTSJCPDL201912</t>
  </si>
  <si>
    <t>增值业务</t>
  </si>
  <si>
    <t>JTSJCP02056</t>
  </si>
  <si>
    <t>国内4008电话</t>
  </si>
  <si>
    <t>号码数</t>
  </si>
  <si>
    <t>JTSJCP03001</t>
  </si>
  <si>
    <t>行业彩信</t>
  </si>
  <si>
    <t>短号码数量</t>
  </si>
  <si>
    <t>固网及智慧家庭服务-固定电话-固网增值业务</t>
  </si>
  <si>
    <t>JTSJCP03002</t>
  </si>
  <si>
    <t>行业短信-普通短信</t>
  </si>
  <si>
    <t>JTSJCP01002</t>
  </si>
  <si>
    <t>总机服务</t>
  </si>
  <si>
    <t>户</t>
  </si>
  <si>
    <t>开通功能的用户数</t>
  </si>
  <si>
    <t>固网及智慧家庭服务-固定电话-企业总机-收入（大收）</t>
  </si>
  <si>
    <t>JTSJCP01046</t>
  </si>
  <si>
    <t>无线VPDN</t>
  </si>
  <si>
    <t>行业应用
-250115改：外延业务</t>
  </si>
  <si>
    <t>ICT-250115改：删除产品类别</t>
  </si>
  <si>
    <t>移动通信服务-其他移动通信服务-无线宽带收入</t>
  </si>
  <si>
    <t>JTSJCP02058</t>
  </si>
  <si>
    <t>天翼高清（集约）</t>
  </si>
  <si>
    <t>天翼高清的台数</t>
  </si>
  <si>
    <t>JTSJCP03004</t>
  </si>
  <si>
    <t>800电话</t>
  </si>
  <si>
    <t>G</t>
  </si>
  <si>
    <t>包含的流量数</t>
  </si>
  <si>
    <t>JTSJCP02219</t>
  </si>
  <si>
    <t>行业短信-富媒体短信</t>
  </si>
  <si>
    <t>移动通信服务-移动信息化应用-个人云产品-天翼云盘-基础功能费</t>
  </si>
  <si>
    <t>2943;2944</t>
  </si>
  <si>
    <t>移动通信服务-移动信息化应用-个人云产品-天翼云盘-基础功能费;移动通信服务-移动信息化应用-个人云产品-天翼云盘-会员服务费</t>
  </si>
  <si>
    <t>JTSJCP02220</t>
  </si>
  <si>
    <t>行业短信-秒达短信</t>
  </si>
  <si>
    <t>JTSJCP02221</t>
  </si>
  <si>
    <t>行业短信-智能短信</t>
  </si>
  <si>
    <t>JTSJCPDL201911</t>
  </si>
  <si>
    <t>基础移动业务</t>
  </si>
  <si>
    <t>JTSJCP01001</t>
  </si>
  <si>
    <t>4G（LTE）上网</t>
  </si>
  <si>
    <t>拉动移动入网用户数</t>
  </si>
  <si>
    <t>040229</t>
  </si>
  <si>
    <t>移动业务户均成本</t>
  </si>
  <si>
    <t>移动通信服务-移动语音-语音收入</t>
  </si>
  <si>
    <t>JTSJCPDL201910</t>
  </si>
  <si>
    <t>卫星业务</t>
  </si>
  <si>
    <t>JTSJCP01051</t>
  </si>
  <si>
    <t>卫星移动通信业务-语音</t>
  </si>
  <si>
    <t>JTSJCP02090</t>
  </si>
  <si>
    <t>卫星宽带带宽型-国内</t>
  </si>
  <si>
    <t>固网及智慧家庭服务-互联网宽带接入-卫星宽带-卫星宽带服务</t>
  </si>
  <si>
    <t>1301;1302;</t>
  </si>
  <si>
    <t>固网及智慧家庭服务-互联网宽带接入-卫星宽带-卫星宽带服务;固网及智慧家庭服务-互联网宽带接入-卫星宽带-卫星资源服务</t>
  </si>
  <si>
    <t>JTSJCP02051</t>
  </si>
  <si>
    <t>卫星宽带流量型（企业版）</t>
  </si>
  <si>
    <t>JTSJCP02052</t>
  </si>
  <si>
    <t>卫星宽带带宽型-国际</t>
  </si>
  <si>
    <t>JTSJCP03108</t>
  </si>
  <si>
    <t>手机直连卫星</t>
  </si>
  <si>
    <t>卫星</t>
  </si>
  <si>
    <t>JTSJCPDL201909</t>
  </si>
  <si>
    <t>专线业务</t>
  </si>
  <si>
    <t>JTSJCP02042</t>
  </si>
  <si>
    <t>互联网专线-500M以下</t>
  </si>
  <si>
    <t>固网及智慧家庭服务-互联网宽带接入-互联网专线-普通国内互联网专线收入-FTTH/O</t>
  </si>
  <si>
    <t>1306;1307;1320;1321;1322;1323;1326;1329;1330;1331;2557</t>
  </si>
  <si>
    <t>固网及智慧家庭服务-互联网宽带接入-普通宽带-装移机收入;固网及智慧家庭服务-互联网宽带接入-普通宽带-业务调测费;固网及智慧家庭服务-互联网宽带接入-互联网专线-普通国内互联网专线收入-FTTH/O;固网及智慧家庭服务-互联网宽带接入-互联网专线-普通国内互联网专线收入-ADSL;固网及智慧家庭服务-互联网宽带接入-互联网专线-普通国内互联网专线收入-LAN;固网及智慧家庭服务-互联网宽带接入-互联网专线-普通国内互联网专线收入-光纤直驱;固网及智慧家庭服务-互联网宽带接入-互联网专线-普通国内互联网专线收入-光纤直驱;固网及智慧家庭服务-互联网宽带接入-互联网专线-互联网专线安全服务（云堤）-DDoS攻击防护服务（互联网）;固网及智慧家庭服务-互联网宽带接入-互联网专线-互联网专线安全服务（云堤）-云镜;固网及智慧家庭服务-互联网宽带接入-互联网专线-商务专线;固网及智慧家庭服务-互联网宽带接入-互联网专线-国际精品专线;固网及智慧家庭服务-互联网宽带接入-其他互联网宽带接入业务-其他</t>
  </si>
  <si>
    <t>JTSJCP02108</t>
  </si>
  <si>
    <t>互联网专线-500M及以上</t>
  </si>
  <si>
    <t>JTSJCP02089</t>
  </si>
  <si>
    <t>互联网国际精品专线-500M以下</t>
  </si>
  <si>
    <t>固网及智慧家庭服务-互联网宽带接入-互联网专线-国际精品专线</t>
  </si>
  <si>
    <t>JTSJCP02109</t>
  </si>
  <si>
    <t>互联网国际精品专线-500M及以上</t>
  </si>
  <si>
    <t>JTSJCP02088</t>
  </si>
  <si>
    <t>商务专线</t>
  </si>
  <si>
    <t>商务光纤接入</t>
  </si>
  <si>
    <t>固网及智慧家庭服务-互联网宽带接入-互联网专线-商务专线</t>
  </si>
  <si>
    <t>JTSJCPDL201908</t>
  </si>
  <si>
    <t>电路业务</t>
  </si>
  <si>
    <t>JTSJCP02041</t>
  </si>
  <si>
    <t>IP虚拟专网</t>
  </si>
  <si>
    <t>3071(标）、3104(项)</t>
  </si>
  <si>
    <t>产业数字化-资源型服务-组网专线-标品型-普通组网专线-普通组网专线-IP虚拟专网-大陆境内</t>
  </si>
  <si>
    <t>3071;3073;3074</t>
  </si>
  <si>
    <t>产业数字化-资源型服务-组网专线-标品型-普通组网专线-IP虚拟专网-大陆境内;产业数字化-资源型服务-组网专线-标品型-普通组网专线-IP虚拟专网-国际及港澳台-境内客户;产业数字化-资源型服务-组网专线-标品型-普通组网专线-IP虚拟专网-国际及港澳台-境外客户</t>
  </si>
  <si>
    <t>JTSJCP02048</t>
  </si>
  <si>
    <t>数字电路(SDH)-本地电路</t>
  </si>
  <si>
    <t>省际长途SDH电路</t>
  </si>
  <si>
    <t>3059(标）、3092(项)</t>
  </si>
  <si>
    <t>产业数字化-资源型服务-组网专线-标品型-普通组网专线-普通组网专线-传输专线（SDH/MSTP/波分/ROADM）-大陆境内-长途</t>
  </si>
  <si>
    <t>产业数字化-资源型服务-组网专线-标品型-普通组网专线-传输专线（SDH/MSTP/波分/ROADM）-大陆境内-长途</t>
  </si>
  <si>
    <t>JTSJCP02102</t>
  </si>
  <si>
    <t>数字电路(SDH)-省内长途</t>
  </si>
  <si>
    <t>省内长途SDH电路</t>
  </si>
  <si>
    <t>JTSJCP02103</t>
  </si>
  <si>
    <t>数字电路(SDH)-省际长途</t>
  </si>
  <si>
    <t>3058(标）、3091(项)</t>
  </si>
  <si>
    <t>产业数字化-资源型服务-组网专线-标品型-普通组网专线-普通组网专线-传输专线（SDH/MSTP/波分/ROADM）-大陆境内-本地</t>
  </si>
  <si>
    <t>产业数字化-资源型服务-组网专线-标品型-普通组网专线-传输专线（SDH/MSTP/波分/ROADM）-大陆境内-本地</t>
  </si>
  <si>
    <t>JTSJCP02049</t>
  </si>
  <si>
    <t>JTSJCP02104</t>
  </si>
  <si>
    <t>MSTP-省内长途</t>
  </si>
  <si>
    <t>JTSJCP02105</t>
  </si>
  <si>
    <t>MSTP-省际长途</t>
  </si>
  <si>
    <t>JTSJCP02070</t>
  </si>
  <si>
    <t>以太专线</t>
  </si>
  <si>
    <t>3065(标）、3098(项)</t>
  </si>
  <si>
    <t>产业数字化-资源型服务-组网专线-标品型-普通组网专线-普通组网专线-以太专线-大陆境内-本地</t>
  </si>
  <si>
    <t>3065;3066</t>
  </si>
  <si>
    <t>产业数字化-资源型服务-组网专线-标品型-普通组网专线-以太专线-大陆境内-本地;产业数字化-资源型服务-组网专线-标品型-普通组网专线-以太专线-大陆境内-长途</t>
  </si>
  <si>
    <t>JTSJCP02111</t>
  </si>
  <si>
    <t>数字电路(SDH)-国际港澳台电路</t>
  </si>
  <si>
    <t>3061(标）、3094(项)</t>
  </si>
  <si>
    <t>产业数字化-资源型服务-组网专线-标品型-普通组网专线-普通组网专线-传输专线（SDH/MSTP/波分/ROADM）-国际及港澳台-境内客户</t>
  </si>
  <si>
    <t>产业数字化-资源型服务-组网专线-标品型-普通组网专线-传输专线（SDH/MSTP/波分/ROADM）-国际及港澳台-境内客户</t>
  </si>
  <si>
    <t>JTSJCP02112</t>
  </si>
  <si>
    <t>MSTP-国际港澳台电路</t>
  </si>
  <si>
    <t>JTSJCP02114</t>
  </si>
  <si>
    <t>医疗专网（统筹省级）</t>
  </si>
  <si>
    <t>JTSJCP02115</t>
  </si>
  <si>
    <t>精品专线（OTN）-省际长途</t>
  </si>
  <si>
    <t>3030(标）、3085(项)</t>
  </si>
  <si>
    <t>产业数字化-资源型服务-组网专线-标品型-普通组网专线-普通组网专线-OTN精品专线-大陆境内-长途</t>
  </si>
  <si>
    <t>产业数字化-资源型服务-组网专线-标品型-普通组网专线-OTN精品专线-大陆境内-长途</t>
  </si>
  <si>
    <t>JTSJCP02116</t>
  </si>
  <si>
    <t>精品专线（OTN）-省内长途</t>
  </si>
  <si>
    <t>JTSJCP02117</t>
  </si>
  <si>
    <t>精品专线（OTN）-本地电路</t>
  </si>
  <si>
    <t>3029(标）、3084(项)</t>
  </si>
  <si>
    <t>产业数字化-资源型服务-组网专线-标品型-普通组网专线-普通组网专线-OTN精品专线-大陆境内-本地</t>
  </si>
  <si>
    <t>产业数字化-资源型服务-组网专线-标品型-普通组网专线-OTN精品专线-大陆境内-本地</t>
  </si>
  <si>
    <t>JTSJCP04073</t>
  </si>
  <si>
    <t>云专网3.0</t>
  </si>
  <si>
    <t>产业数字化-资源型服务-组网专线-项目型组网专线-云组网专线-资源池接入专线-云专网（含FIRST教育/医疗/视频专网等）</t>
  </si>
  <si>
    <t>JTSJCPDL201907</t>
  </si>
  <si>
    <t>物联网业务</t>
  </si>
  <si>
    <t>JTSJCP04001</t>
  </si>
  <si>
    <t>物联网语音</t>
  </si>
  <si>
    <t>物联网</t>
  </si>
  <si>
    <t>产业数字化-资源型服务-物联网-标品型物联网-连接服务-语音</t>
  </si>
  <si>
    <t>JTSJCP04002</t>
  </si>
  <si>
    <t>物联网流量</t>
  </si>
  <si>
    <t>产业数字化-资源型服务-物联网-标品型物联网-连接服务-流量-定向流量</t>
  </si>
  <si>
    <t>需填写折扣率</t>
  </si>
  <si>
    <t>JTSJCP04003</t>
  </si>
  <si>
    <t>物联网短信</t>
  </si>
  <si>
    <t>产业数字化-资源型服务-物联网-标品型物联网-连接服务-短信</t>
  </si>
  <si>
    <t>JTSJCP04004</t>
  </si>
  <si>
    <t>物联网基础能力增值</t>
  </si>
  <si>
    <t>产业数字化-资源型服务-物联网-标品型物联网-连接服务-增值</t>
  </si>
  <si>
    <t>JTSJCP02218</t>
  </si>
  <si>
    <t>物联网开放平台</t>
  </si>
  <si>
    <t>3113(标）、3123(项)</t>
  </si>
  <si>
    <t>产业数字化-资源型服务-物联网-标品型物联网-应用服务-平台应用</t>
  </si>
  <si>
    <t>JTSJCP04005</t>
  </si>
  <si>
    <t>物联网应用</t>
  </si>
  <si>
    <t>3119(标）、3129(项)</t>
  </si>
  <si>
    <t>产业数字化-资源型服务-物联网-标品型物联网-应用服务-行业应用-其他</t>
  </si>
  <si>
    <t>JTSJCP01047</t>
  </si>
  <si>
    <t>M2M</t>
  </si>
  <si>
    <t>040601</t>
  </si>
  <si>
    <t>物联网平台</t>
  </si>
  <si>
    <t>产业数字化-ICT业务-集成-集成服务-物联网集成</t>
  </si>
  <si>
    <t>JTSJCP04009</t>
  </si>
  <si>
    <t>城市感知平台</t>
  </si>
  <si>
    <t>能力</t>
  </si>
  <si>
    <t>JTSJCPDL201906</t>
  </si>
  <si>
    <t>ICT-其它</t>
  </si>
  <si>
    <t>JTSJCP02066</t>
  </si>
  <si>
    <t>其他ICT业务</t>
  </si>
  <si>
    <t>集成服务</t>
  </si>
  <si>
    <t>产业数字化-ICT业务-集成-天翼智维-客户云网托管服务</t>
  </si>
  <si>
    <t>JTSJCP03006</t>
  </si>
  <si>
    <t>代收代付</t>
  </si>
  <si>
    <t>JTSJCP01050</t>
  </si>
  <si>
    <t>移动ICT服务</t>
  </si>
  <si>
    <t>产业数字化-ICT业务-行业平台及应用-行业数字平台</t>
  </si>
  <si>
    <t>JTSJCPDL201905</t>
  </si>
  <si>
    <t>ICT-行业应用</t>
  </si>
  <si>
    <t>JTSJCP02080</t>
  </si>
  <si>
    <t>智慧企业</t>
  </si>
  <si>
    <t>JTSJCP01003</t>
  </si>
  <si>
    <t>加密通信</t>
  </si>
  <si>
    <t>产业数字化-ICT业务-行业平台及应用-通用信息化标品-加密通信</t>
  </si>
  <si>
    <t>JTSJCP01016</t>
  </si>
  <si>
    <t>安全办公</t>
  </si>
  <si>
    <t>040901</t>
  </si>
  <si>
    <t>综合办公平台</t>
  </si>
  <si>
    <t>产业数字化-ICT业务-行业平台及应用-通用信息化标品-安全办公</t>
  </si>
  <si>
    <t>JTSJCP01018</t>
  </si>
  <si>
    <t>外勤助手</t>
  </si>
  <si>
    <t>040217</t>
  </si>
  <si>
    <t>行业应用类平台(外勤助手)</t>
  </si>
  <si>
    <t>产业数字化-ICT业务-行业平台及应用-通用信息化标品-外勤助手</t>
  </si>
  <si>
    <t>JTSJCP01019</t>
  </si>
  <si>
    <t>天翼对讲</t>
  </si>
  <si>
    <t>040401</t>
  </si>
  <si>
    <t>天翼对讲平台</t>
  </si>
  <si>
    <t>产业数字化-ICT业务-行业平台及应用-通用信息化标品-天翼对讲</t>
  </si>
  <si>
    <t>JTSJCP01020</t>
  </si>
  <si>
    <t>可视化调度</t>
  </si>
  <si>
    <t>JTSJCP01021</t>
  </si>
  <si>
    <t>综合办公</t>
  </si>
  <si>
    <t>产业数字化-ICT业务-行业平台及应用-通用信息化标品-综合办公</t>
  </si>
  <si>
    <t>JTSJCP02029</t>
  </si>
  <si>
    <t>新视通（4G版）</t>
  </si>
  <si>
    <t>终端数量</t>
  </si>
  <si>
    <t>产业数字化-ICT业务-行业平台及应用-通用信息化标品-视频会议</t>
  </si>
  <si>
    <t>JTSJCP02037</t>
  </si>
  <si>
    <t>12345政府服务热线</t>
  </si>
  <si>
    <t>支持坐席数</t>
  </si>
  <si>
    <t>产业数字化-ICT业务-行业平台及应用-通用信息化标品-呼叫中心外包服务收入</t>
  </si>
  <si>
    <t>JTSJCP02057</t>
  </si>
  <si>
    <t>会易通</t>
  </si>
  <si>
    <t>虚拟会议室数</t>
  </si>
  <si>
    <t>JTSJCP02065</t>
  </si>
  <si>
    <t>鹰眼舆情</t>
  </si>
  <si>
    <t>大数据</t>
  </si>
  <si>
    <t>产业数字化-ICT业务-集成-集成服务-安全集成-其他</t>
  </si>
  <si>
    <t>JTSJCP03005</t>
  </si>
  <si>
    <t>基础定位能力业务-粗定位</t>
  </si>
  <si>
    <t>次</t>
  </si>
  <si>
    <t>用户数</t>
  </si>
  <si>
    <t>040101</t>
  </si>
  <si>
    <t>定位服务平台</t>
  </si>
  <si>
    <t>产业数字化-ICT业务-行业平台及应用-通用信息化标品-基础定位</t>
  </si>
  <si>
    <t>JTSJCP02206</t>
  </si>
  <si>
    <t>云录音</t>
  </si>
  <si>
    <t>产业数字化-ICT业务-行业平台及应用-通用信息化标品-智能语音云-云录音</t>
  </si>
  <si>
    <t>JTSJCP02207</t>
  </si>
  <si>
    <t>云中继</t>
  </si>
  <si>
    <t>产业数字化-ICT业务-行业平台及应用-通用信息化标品-智能语音云-云中继</t>
  </si>
  <si>
    <t>JTSJCP02208</t>
  </si>
  <si>
    <t>工作号</t>
  </si>
  <si>
    <t>产业数字化-ICT业务-行业平台及应用-通用信息化标品-智能语音云-工作号</t>
  </si>
  <si>
    <t>JTSJCP02209</t>
  </si>
  <si>
    <t>云总机</t>
  </si>
  <si>
    <t>产业数字化-ICT业务-行业平台及应用-通用信息化标品-智能语音云-云总机</t>
  </si>
  <si>
    <t>JTSJCP02118</t>
  </si>
  <si>
    <t>精品专线（国际版）</t>
  </si>
  <si>
    <t>3032(标）、3087(项)</t>
  </si>
  <si>
    <t>产业数字化-资源型服务-组网专线-标品型-普通组网专线-普通组网专线-OTN精品专线-国际及港澳台-境内客户</t>
  </si>
  <si>
    <t>3032;3033;3068;3069;3075;3076</t>
  </si>
  <si>
    <t>产业数字化-资源型服务-组网专线-标品型-普通组网专线-OTN精品专线-国际及港澳台-境内客户;产业数字化-资源型服务-组网专线-标品型-普通组网专线-OTN精品专线-国际及港澳台-境外客户;产业数字化-资源型服务-组网专线-标品型-普通组网专线-以太专线-国际及港澳台-境内客户;产业数字化-资源型服务-组网专线-标品型-普通组网专线-以太专线-国际及港澳台-境外客户;产业数字化-资源型服务-组网专线-标品型-普通组网专线-IP-VPDN;产业数字化-资源型服务-组网专线-标品型-普通组网专线-国际及港澳台网元业务</t>
  </si>
  <si>
    <t>JTSJCP02099</t>
  </si>
  <si>
    <t>移动护士站</t>
  </si>
  <si>
    <t>JTSJCP04013</t>
  </si>
  <si>
    <t>智慧社区平台</t>
  </si>
  <si>
    <t>产业数字化-ICT业务-行业平台及应用-行业信息化标品-智慧社区</t>
  </si>
  <si>
    <t>5G业务</t>
  </si>
  <si>
    <t>JTSJCP04031</t>
  </si>
  <si>
    <t>5G定制网网元定制</t>
  </si>
  <si>
    <t>产业数字化-资源型服务-5G定制网-项目型5G定制网-网元定制</t>
  </si>
  <si>
    <t>JTSJCP04060</t>
  </si>
  <si>
    <t>网站安全专家</t>
  </si>
  <si>
    <t>产业数字化-ICT业务-行业安全产品-云堤服务-网站安全</t>
  </si>
  <si>
    <t>JTSJCP04061</t>
  </si>
  <si>
    <t>域名无忧</t>
  </si>
  <si>
    <t>产业数字化-ICT业务-行业安全产品-云堤服务-其他</t>
  </si>
  <si>
    <t>JTSJCP04063</t>
  </si>
  <si>
    <t>隐私哨兵企业版</t>
  </si>
  <si>
    <t>JTSJCP04066</t>
  </si>
  <si>
    <t>反诈雷达</t>
  </si>
  <si>
    <t>JTSJCP04067</t>
  </si>
  <si>
    <t>广目</t>
  </si>
  <si>
    <t>JTSJCP04030</t>
  </si>
  <si>
    <t>5G工作手机</t>
  </si>
  <si>
    <t>JTSJCP04006</t>
  </si>
  <si>
    <t>5G定制网超级号卡</t>
  </si>
  <si>
    <t>产业数字化-资源型服务-5G定制网-标品型5G定制网-超级号卡</t>
  </si>
  <si>
    <t>JTSJCP01130</t>
  </si>
  <si>
    <t>5G双域快网</t>
  </si>
  <si>
    <t>1726;1966</t>
  </si>
  <si>
    <t>产业数字化-资源型服务-5G定制网-标品型5G定制网-超级号卡;产业数字化-资源型服务-5G定制网-项目型5G定制网-网元定制</t>
  </si>
  <si>
    <t>JTSJCP03011</t>
  </si>
  <si>
    <t>5G商企专网</t>
  </si>
  <si>
    <t>5G</t>
  </si>
  <si>
    <t>JTSJCP01144</t>
  </si>
  <si>
    <t>社会治理大数据中脑</t>
  </si>
  <si>
    <t>行业数字平台和应用</t>
  </si>
  <si>
    <t>JTSJCP01145</t>
  </si>
  <si>
    <t>翼平台框架产品</t>
  </si>
  <si>
    <t>JTSJCP01146</t>
  </si>
  <si>
    <t>翼安巡防</t>
  </si>
  <si>
    <t>JTSJCP01147</t>
  </si>
  <si>
    <t>翼云店</t>
  </si>
  <si>
    <t>JTSJCP01008</t>
  </si>
  <si>
    <t>智慧养老</t>
  </si>
  <si>
    <t>JTSJCP01010</t>
  </si>
  <si>
    <t>车管专家</t>
  </si>
  <si>
    <t>040202</t>
  </si>
  <si>
    <t>行业应用类平台(车管专家)</t>
  </si>
  <si>
    <t>JTSJCP01011</t>
  </si>
  <si>
    <t>车载信息服务</t>
  </si>
  <si>
    <t>JTSJCP01022</t>
  </si>
  <si>
    <t>NFC(手机钱包)</t>
  </si>
  <si>
    <t>JTSJCP01023</t>
  </si>
  <si>
    <t>在线培训</t>
  </si>
  <si>
    <t>020601</t>
  </si>
  <si>
    <t>在线培训服务平台</t>
  </si>
  <si>
    <t>产业数字化-ICT业务-行业平台及应用-通用信息化标品-其他</t>
  </si>
  <si>
    <t>JTSJCP01024</t>
  </si>
  <si>
    <t>智慧城市门户</t>
  </si>
  <si>
    <t>JTSJCP01026</t>
  </si>
  <si>
    <t>电子政务</t>
  </si>
  <si>
    <t>040203</t>
  </si>
  <si>
    <t>行业应用类平台(电子政务)</t>
  </si>
  <si>
    <t>JTSJCP01037</t>
  </si>
  <si>
    <t>客运e通</t>
  </si>
  <si>
    <t>040209</t>
  </si>
  <si>
    <t>行业应用类平台(客运E通)</t>
  </si>
  <si>
    <t>JTSJCP01041</t>
  </si>
  <si>
    <t>信贷鹰眼</t>
  </si>
  <si>
    <t>JTSJCP01043</t>
  </si>
  <si>
    <t>智能工厂</t>
  </si>
  <si>
    <t>JTSJCP02002</t>
  </si>
  <si>
    <t>手机管家</t>
  </si>
  <si>
    <t>账号数</t>
  </si>
  <si>
    <t>JTSJCP02003</t>
  </si>
  <si>
    <t>商务添翼（SAP Anywhere）</t>
  </si>
  <si>
    <t>JTSJCP02004</t>
  </si>
  <si>
    <t>IBM合作应用</t>
  </si>
  <si>
    <t>JTSJCP02005</t>
  </si>
  <si>
    <t>用友移动应用</t>
  </si>
  <si>
    <t>JTSJCP02007</t>
  </si>
  <si>
    <t>班班通</t>
  </si>
  <si>
    <t>班级数</t>
  </si>
  <si>
    <t>JTSJCP02009</t>
  </si>
  <si>
    <t>掌上大学</t>
  </si>
  <si>
    <t>JTSJCP02015</t>
  </si>
  <si>
    <t>益农服务</t>
  </si>
  <si>
    <t>040211</t>
  </si>
  <si>
    <t>行业应用类平台(农技宝)</t>
  </si>
  <si>
    <t>JTSJCP02030</t>
  </si>
  <si>
    <t>全球眼</t>
  </si>
  <si>
    <t>摄像头数量</t>
  </si>
  <si>
    <t>固网应用</t>
  </si>
  <si>
    <t>030203</t>
  </si>
  <si>
    <t>全球眼视频监控平台</t>
  </si>
  <si>
    <t>产业数字化-ICT业务-行业视联网业务-全球眼</t>
  </si>
  <si>
    <t>JTSJCP02035</t>
  </si>
  <si>
    <t>网上办事大厅应用</t>
  </si>
  <si>
    <t>040218</t>
  </si>
  <si>
    <t>行业应用类平台(网上办事大厅)</t>
  </si>
  <si>
    <t>JTSJCP02036</t>
  </si>
  <si>
    <t>城市运营中心(Mini smart city)</t>
  </si>
  <si>
    <t>JTSJCP02038</t>
  </si>
  <si>
    <t>健康小屋</t>
  </si>
  <si>
    <t>健康小屋数量</t>
  </si>
  <si>
    <t>JTSJCP02067</t>
  </si>
  <si>
    <t>企业邮箱</t>
  </si>
  <si>
    <t>邮箱的个数</t>
  </si>
  <si>
    <t>030101</t>
  </si>
  <si>
    <t>企业邮箱平台</t>
  </si>
  <si>
    <t>JTSJCP02069</t>
  </si>
  <si>
    <t>精准扶贫</t>
  </si>
  <si>
    <t>JTSJCP02074</t>
  </si>
  <si>
    <t>旺铺助手</t>
  </si>
  <si>
    <t>040501</t>
  </si>
  <si>
    <t>旺铺助手平台</t>
  </si>
  <si>
    <t>JTSJCP02203</t>
  </si>
  <si>
    <t>混合云管理平台</t>
  </si>
  <si>
    <t>产业数字化-ICT业务-集成-集成服务-云集成-私有云集成-移动</t>
  </si>
  <si>
    <t>JTSJCP02210</t>
  </si>
  <si>
    <t>一体化政务服务平台</t>
  </si>
  <si>
    <t>JTSJCP02211</t>
  </si>
  <si>
    <t>数字政府数字底座（含数据共享交换平台）</t>
  </si>
  <si>
    <t>JTSJCP02213</t>
  </si>
  <si>
    <t>工业互联网平台</t>
  </si>
  <si>
    <t>JTSJCP02214</t>
  </si>
  <si>
    <t>工业PON</t>
  </si>
  <si>
    <t>JTSJCP02215</t>
  </si>
  <si>
    <t>教学视频云平台</t>
  </si>
  <si>
    <t>JTSJCP02216</t>
  </si>
  <si>
    <t>全民健康信息平台</t>
  </si>
  <si>
    <t>JTSJCP02230</t>
  </si>
  <si>
    <t>村村享</t>
  </si>
  <si>
    <t>产业数字化-ICT业务-行业平台及应用-行业信息化标品-数字乡村</t>
  </si>
  <si>
    <t>JTSJCP02231</t>
  </si>
  <si>
    <t>互联网+督查平台</t>
  </si>
  <si>
    <t>JTSJCP02232</t>
  </si>
  <si>
    <t>互联网+监管平台</t>
  </si>
  <si>
    <t>JTSJCP02233</t>
  </si>
  <si>
    <t>融媒体平台</t>
  </si>
  <si>
    <t>JTSJCP02234</t>
  </si>
  <si>
    <t>全域旅游平台</t>
  </si>
  <si>
    <t>JTSJCP02235</t>
  </si>
  <si>
    <t>校园安全平台</t>
  </si>
  <si>
    <t>JTSJCP02236</t>
  </si>
  <si>
    <t>县域医共体信息平台</t>
  </si>
  <si>
    <t>JTSJCP02238</t>
  </si>
  <si>
    <t>中小企业数字化服务平台</t>
  </si>
  <si>
    <t>JTSJCP02239</t>
  </si>
  <si>
    <t>天翼云办公</t>
  </si>
  <si>
    <t>JTSJCP04034</t>
  </si>
  <si>
    <t>社会治理平台-大数据中脑</t>
  </si>
  <si>
    <t>JTSJCP04035</t>
  </si>
  <si>
    <t>社会治理平台-平安慧眼</t>
  </si>
  <si>
    <t>JTSJCP04037</t>
  </si>
  <si>
    <t>智慧商业综合体平台</t>
  </si>
  <si>
    <t>JTSJCP04038</t>
  </si>
  <si>
    <t>房地产数字平台</t>
  </si>
  <si>
    <t>JTSJCP04039</t>
  </si>
  <si>
    <t>安责通安全生产服务平台</t>
  </si>
  <si>
    <t>JTSJCP04040</t>
  </si>
  <si>
    <t>工业AR远程协同服务平台（5G+AR服务平台）</t>
  </si>
  <si>
    <t>JTSJCP04041</t>
  </si>
  <si>
    <t>交通运输数字大脑平台</t>
  </si>
  <si>
    <t>JTSJCP04042</t>
  </si>
  <si>
    <t>职教综合管理服务平台</t>
  </si>
  <si>
    <t>JTSJCP04043</t>
  </si>
  <si>
    <t>基础教育“双减”服务平台</t>
  </si>
  <si>
    <t>JTSJCP04044</t>
  </si>
  <si>
    <t>智慧农业平台</t>
  </si>
  <si>
    <t>JTSJCP04045</t>
  </si>
  <si>
    <t>乡村振兴平台</t>
  </si>
  <si>
    <t>JTSJCP04046</t>
  </si>
  <si>
    <t>金融通信服务平台</t>
  </si>
  <si>
    <t>JTSJCP04047</t>
  </si>
  <si>
    <t>智慧商业街区综合治理运营平台</t>
  </si>
  <si>
    <t>JTSJCP04048</t>
  </si>
  <si>
    <t>智慧商企平台</t>
  </si>
  <si>
    <t>JTSJCP04049</t>
  </si>
  <si>
    <t>数字酒店平台</t>
  </si>
  <si>
    <t>JTSJCP04050</t>
  </si>
  <si>
    <t>一网统管平台</t>
  </si>
  <si>
    <t>JTSJCP04051</t>
  </si>
  <si>
    <t>公共卫生应急管理与指挥决策平台</t>
  </si>
  <si>
    <t>JTSJCP04052</t>
  </si>
  <si>
    <t>生态环境大数据平台</t>
  </si>
  <si>
    <t>JTSJCP04053</t>
  </si>
  <si>
    <t>要客移动应用中台及应用</t>
  </si>
  <si>
    <t>JTSJCP04054</t>
  </si>
  <si>
    <t>非现役人员服务保障平台及应用</t>
  </si>
  <si>
    <t>JTSJCP04055</t>
  </si>
  <si>
    <t>天翼钉</t>
  </si>
  <si>
    <t>JTSJCP04056</t>
  </si>
  <si>
    <t>外企翼联</t>
  </si>
  <si>
    <t>JTSJCP04014</t>
  </si>
  <si>
    <t>智能建造平台</t>
  </si>
  <si>
    <t>JTSJCP04015</t>
  </si>
  <si>
    <t>城市运管服平台</t>
  </si>
  <si>
    <t>JTSJCP04016</t>
  </si>
  <si>
    <t>园区楼宇平台</t>
  </si>
  <si>
    <t>JTSJCP04018</t>
  </si>
  <si>
    <t>社会治理平台-市域治理</t>
  </si>
  <si>
    <t>JTSJCP04019</t>
  </si>
  <si>
    <t>社会治理平台-智慧法治</t>
  </si>
  <si>
    <t>JTSJCP04021</t>
  </si>
  <si>
    <t>社会治理平台-智慧警务</t>
  </si>
  <si>
    <t>JTSJCP04023</t>
  </si>
  <si>
    <t>民政智慧寄念平台</t>
  </si>
  <si>
    <t>JTSJCP04024</t>
  </si>
  <si>
    <t>智慧营区平台及应用</t>
  </si>
  <si>
    <t>JTSJCP04025</t>
  </si>
  <si>
    <t>高校智慧校园平台</t>
  </si>
  <si>
    <t>JTSJCP04026</t>
  </si>
  <si>
    <t>智慧物流云平台</t>
  </si>
  <si>
    <t>JTSJCP04027</t>
  </si>
  <si>
    <t>风险监测预警综合平台（含应急指挥）</t>
  </si>
  <si>
    <t>JTSJCP04029</t>
  </si>
  <si>
    <t>5G定制网定制服务产品</t>
  </si>
  <si>
    <t>产业数字化-资源型服务-5G定制网-项目型5G定制网-服务定制</t>
  </si>
  <si>
    <t>JTSJCP04058</t>
  </si>
  <si>
    <t>天翼云眼</t>
  </si>
  <si>
    <t>产业数字化-ICT业务-行业云产品-非项目销售公有云产品-PaaS-其他-自研</t>
  </si>
  <si>
    <t>产业数字化-ICT业务-行业云产品-标品销售公有云产品-PaaS-其他-自研</t>
  </si>
  <si>
    <t>JTSJCP04059</t>
  </si>
  <si>
    <t>DDos攻击防护</t>
  </si>
  <si>
    <t>产业数字化-ICT业务-行业安全产品-云堤服务-DDoS攻击防护-其他</t>
  </si>
  <si>
    <t>JTSJCP04062</t>
  </si>
  <si>
    <t>安全网关</t>
  </si>
  <si>
    <t>产业数字化-ICT业务-行业安全产品-云堤服务-安全大脑-其他</t>
  </si>
  <si>
    <t>JTSJCP04064</t>
  </si>
  <si>
    <t>等保助手</t>
  </si>
  <si>
    <t>产业数字化-ICT业务-行业安全产品-云堤服务-等保助手</t>
  </si>
  <si>
    <t>JTSJCP04065</t>
  </si>
  <si>
    <t>天翼安全猫</t>
  </si>
  <si>
    <t>JTSJCP04076</t>
  </si>
  <si>
    <t>工业行业5G定制网</t>
  </si>
  <si>
    <t>JTSJCP04077</t>
  </si>
  <si>
    <t>工业园区+平台</t>
  </si>
  <si>
    <t>JTSJCP04078</t>
  </si>
  <si>
    <t>燃气卫士</t>
  </si>
  <si>
    <t>JTSJCP04079</t>
  </si>
  <si>
    <t>公卫应急指挥平台</t>
  </si>
  <si>
    <t>JTSJCPDL201904</t>
  </si>
  <si>
    <t>ICT-大数据及AI</t>
  </si>
  <si>
    <t>JTSJCP01137</t>
  </si>
  <si>
    <t>量子加密对讲</t>
  </si>
  <si>
    <t>安全</t>
  </si>
  <si>
    <t>产业数字化-ICT业务-集成-集成服务-量子集成</t>
  </si>
  <si>
    <t>JTSJCP01138</t>
  </si>
  <si>
    <t>量子云印章</t>
  </si>
  <si>
    <t>JTSJCP01139</t>
  </si>
  <si>
    <t>量子安全视频会议</t>
  </si>
  <si>
    <t>JTSJCP01140</t>
  </si>
  <si>
    <t>量子安全组网</t>
  </si>
  <si>
    <t>JTSJCP01141</t>
  </si>
  <si>
    <t>量子物联网</t>
  </si>
  <si>
    <t>JTSJCP01142</t>
  </si>
  <si>
    <t>量子云密改</t>
  </si>
  <si>
    <t>JTSJCP01143</t>
  </si>
  <si>
    <t>量子平台密改</t>
  </si>
  <si>
    <t>JTSJCP02212</t>
  </si>
  <si>
    <t>金融大数据应用平台</t>
  </si>
  <si>
    <t>JTSJCP04010</t>
  </si>
  <si>
    <t>城市大脑</t>
  </si>
  <si>
    <t>产业数字化-ICT业务-行业AI产品-星辰大模型服务-行业大模型-其他</t>
  </si>
  <si>
    <t>JTSJCP02306</t>
  </si>
  <si>
    <t>AI技术服务</t>
  </si>
  <si>
    <t>服务</t>
  </si>
  <si>
    <t>产业数字化-ICT业务-行业大数据服务-数据平台和数据治理-其他</t>
  </si>
  <si>
    <t>JTSJCP04080</t>
  </si>
  <si>
    <t>量子安全通信</t>
  </si>
  <si>
    <t>产业数字化-ICT业务-行业量子产品-其他</t>
  </si>
  <si>
    <t>1122;1681</t>
  </si>
  <si>
    <t>移动通信服务-移动信息化应用-量子密话;产业数字化-ICT业务-行业量子产品-其他</t>
  </si>
  <si>
    <t>JTSJCP04081</t>
  </si>
  <si>
    <t>VoLTE专用加密手机（B版）</t>
  </si>
  <si>
    <t>JTSJCPDL201903</t>
  </si>
  <si>
    <t>ICT-集成及外包服务</t>
  </si>
  <si>
    <t>JTSJCP02061</t>
  </si>
  <si>
    <t>专属云-服务器托管</t>
  </si>
  <si>
    <t>2861;2443;1710;1678;1708</t>
  </si>
  <si>
    <t>产业数字化-ICT业务-集成-天翼智维-客户云网托管服务;产业数字化-ICT业务-集成-集成服务-平台集成-集成实施费;产业数字化-ICT业务-行业平台及应用-通用信息化标品-其他;产业数字化-ICT业务-行业平台及应用-行业信息化标品-应急通信服务收入;产业数字化-ICT业务-集成-集成服务-安全集成-其他</t>
  </si>
  <si>
    <t>JTSJCP02068</t>
  </si>
  <si>
    <t>产业数字化-ICT业务-集成-集成服务-平台集成-集成实施费</t>
  </si>
  <si>
    <t>JTSJCP02081</t>
  </si>
  <si>
    <t>知识服务</t>
  </si>
  <si>
    <t>产业数字化-ICT业务-行业安全产品-其他</t>
  </si>
  <si>
    <t>JTSJCP02082</t>
  </si>
  <si>
    <t>网站安全监控(增强版)</t>
  </si>
  <si>
    <t>JTSJCP02031</t>
  </si>
  <si>
    <t>呼叫中心</t>
  </si>
  <si>
    <t>坐席数量</t>
  </si>
  <si>
    <t>020201</t>
  </si>
  <si>
    <t>呼叫中心坐席平台</t>
  </si>
  <si>
    <t>JTSJCP02062</t>
  </si>
  <si>
    <t>网络咨询服务</t>
  </si>
  <si>
    <t>JTSJCP02063</t>
  </si>
  <si>
    <t>灾备基础设施及IT设备租赁和维保外包服务</t>
  </si>
  <si>
    <t>020501</t>
  </si>
  <si>
    <t>灾备服务业务平台</t>
  </si>
  <si>
    <t>JTSJCP02033</t>
  </si>
  <si>
    <t>系统安全服务</t>
  </si>
  <si>
    <t>JTSJCP02310</t>
  </si>
  <si>
    <t>物联网集成服务</t>
  </si>
  <si>
    <t>JTSJCPDL201902</t>
  </si>
  <si>
    <t>ICT-云业务</t>
  </si>
  <si>
    <t>JTSJCP02016</t>
  </si>
  <si>
    <t>工业云服务</t>
  </si>
  <si>
    <t>产业数字化-ICT业务-行业云产品-非项目销售公有云产品-IaaS-计算服务-专属云-合营</t>
  </si>
  <si>
    <t>产业数字化-ICT业务-行业云产品-标品销售公有云产品-IaaS-计算服务-专属云-合营</t>
  </si>
  <si>
    <t>JTSJCP02017</t>
  </si>
  <si>
    <t>云主机(VCPU)</t>
  </si>
  <si>
    <t>核</t>
  </si>
  <si>
    <t>云主机的数量</t>
  </si>
  <si>
    <t>010301</t>
  </si>
  <si>
    <t>云主机(CPU)</t>
  </si>
  <si>
    <t>产业数字化-ICT业务-行业云产品-非项目销售公有云产品-IaaS-计算服务-通用云主机</t>
  </si>
  <si>
    <t>2693;2695;2333;2696;2598;2582;</t>
  </si>
  <si>
    <t>产业数字化-ICT业务-行业云产品-标品销售公有云产品-IaaS-计算服务-通用云主机;产业数字化-ICT业务-行业云产品-标品销售公有云产品-IaaS-计算服务-超算云主机;产业数字化-ICT业务-行业云产品-标品销售公有云产品-IaaS-计算服务-合营云主机;产业数字化-ICT业务-行业云产品-项目中公有云产品-IaaS-计算服务-通用云主机;产业数字化-ICT业务-行业云产品-项目中公有云产品-IaaS-存储服务-对象存储-合营;产业数字化-ICT业务-行业云产品-项目中公有云产品-IaaS-计算服务-合营云主机;</t>
  </si>
  <si>
    <t>JTSJCP02075</t>
  </si>
  <si>
    <t>云主机(内存)</t>
  </si>
  <si>
    <t>云及大数据业务</t>
  </si>
  <si>
    <t>010302</t>
  </si>
  <si>
    <t>产业数字化-ICT业务-行业云产品-非项目销售公有云产品-IaaS-计算服务-合营云主机</t>
  </si>
  <si>
    <t>产业数字化-ICT业务-行业云产品-标品销售公有云产品-IaaS-计算服务-合营云主机</t>
  </si>
  <si>
    <t>JTSJCP02076</t>
  </si>
  <si>
    <t>云主机(SSD硬盘)</t>
  </si>
  <si>
    <t>010303</t>
  </si>
  <si>
    <t>云主机(硬盘)</t>
  </si>
  <si>
    <t>JTSJCP02083</t>
  </si>
  <si>
    <t>云主机(SATA硬盘)</t>
  </si>
  <si>
    <t>JTSJCP02084</t>
  </si>
  <si>
    <t>云主机(SAS硬盘)</t>
  </si>
  <si>
    <t>JTSJCP02019</t>
  </si>
  <si>
    <t>云存储</t>
  </si>
  <si>
    <t>T</t>
  </si>
  <si>
    <t>存储空间</t>
  </si>
  <si>
    <t>010101</t>
  </si>
  <si>
    <t>云存储平台</t>
  </si>
  <si>
    <t>产业数字化-ICT业务-行业云产品-非项目销售公有云产品-IaaS-存储服务-其他-合营</t>
  </si>
  <si>
    <t>产业数字化-ICT业务-行业云产品-标品销售公有云产品-IaaS-存储服务-其他-合营</t>
  </si>
  <si>
    <t>JTSJCP02020</t>
  </si>
  <si>
    <t>云能力平台</t>
  </si>
  <si>
    <t>010201</t>
  </si>
  <si>
    <t>产业数字化-ICT业务-行业云产品-非项目销售公有云产品-PaaS-云数据库-合营</t>
  </si>
  <si>
    <t>产业数字化-ICT业务-行业云产品-标品销售公有云产品-PaaS-云数据库-合营</t>
  </si>
  <si>
    <t>JTSJCP02021</t>
  </si>
  <si>
    <t>云安全</t>
  </si>
  <si>
    <t>1947;1949;3182</t>
  </si>
  <si>
    <t>产业数字化-ICT业务-行业安全产品-云堤服务-等保助手;产业数字化-ICT业务-行业安全产品-云堤服务-其他;产业数字化-ICT业务-行业云产品-项目中公有云产品-SaaS-天翼云安全-自研</t>
  </si>
  <si>
    <t>JTSJCP02022</t>
  </si>
  <si>
    <t>桌面云</t>
  </si>
  <si>
    <t>云桌面的数量</t>
  </si>
  <si>
    <t>010401</t>
  </si>
  <si>
    <t>云桌面平台</t>
  </si>
  <si>
    <t>产业数字化-ICT业务-行业云产品-标品销售公有云产品-IaaS-计算服务-云电脑（政企版）-天翼AI云电脑（政企版）</t>
  </si>
  <si>
    <t>3231;2583;3022</t>
  </si>
  <si>
    <t>产业数字化-ICT业务-行业云产品-标品销售公有云产品-IaaS-计算服务-云电脑（政企版）-天翼AI云电脑（政企版）;产业数字化-ICT业务-行业云产品-项目中公有云产品-IaaS-计算服务-云电脑（政企版）;产业数字化-ICT业务-行业云产品-私有云产品-私有云电脑服务</t>
  </si>
  <si>
    <t>JTSJCP02028</t>
  </si>
  <si>
    <t>天翼云会议（会易通4G版）</t>
  </si>
  <si>
    <t>1653;2443;</t>
  </si>
  <si>
    <t>产业数字化-ICT业务-行业平台及应用-通用信息化标品-视频会议;产业数字化-ICT业务-行业平台及应用-通用信息化标品-其他</t>
  </si>
  <si>
    <t>JTSJCP02032</t>
  </si>
  <si>
    <t>云呼叫中心服务</t>
  </si>
  <si>
    <t>产业数字化-ICT业务-行业平台及应用-通用信息化标品-智能语音云-云呼叫中心</t>
  </si>
  <si>
    <t>JTSJCP02202</t>
  </si>
  <si>
    <t>视频存储</t>
  </si>
  <si>
    <t>产业数字化-ICT业务-行业云产品-非项目销售公有云产品-IaaS-存储服务-对象存储-合营</t>
  </si>
  <si>
    <t>产业数字化-ICT业务-行业云产品-标品销售公有云产品-IaaS-存储服务-对象存储-合营</t>
  </si>
  <si>
    <t>JTSJCP02204</t>
  </si>
  <si>
    <t>天翼云监控</t>
  </si>
  <si>
    <t>产业数字化-ICT业务-行业视联网业务-天翼视联（行业定制版）-其他</t>
  </si>
  <si>
    <t>JTSJCP02205</t>
  </si>
  <si>
    <t>天翼云商务直播</t>
  </si>
  <si>
    <t>产业数字化-ICT业务-行业平台及应用-通用信息化标品-天翼云会议</t>
  </si>
  <si>
    <t>JTSJCP02307</t>
  </si>
  <si>
    <t>云数据库</t>
  </si>
  <si>
    <t>产业数字化-ICT业务-行业云产品-非项目销售公有云产品-PaaS-云数据库-自研</t>
  </si>
  <si>
    <t>产业数字化-ICT业务-行业云产品-标品销售公有云产品-PaaS-云数据库-自研</t>
  </si>
  <si>
    <t>JTSJCP02308</t>
  </si>
  <si>
    <t>云备份</t>
  </si>
  <si>
    <t>JTSJCP04011</t>
  </si>
  <si>
    <t>专属云</t>
  </si>
  <si>
    <t>JTSJCP04068</t>
  </si>
  <si>
    <t>CDN加速</t>
  </si>
  <si>
    <t>产业数字化-ICT业务-行业云产品-非项目销售公有云产品-云加速（CDN）</t>
  </si>
  <si>
    <t>产业数字化-ICT业务-行业云产品-标品销售公有云产品-云加速（CDN）</t>
  </si>
  <si>
    <t>JTSJCP04069</t>
  </si>
  <si>
    <t>全站加速</t>
  </si>
  <si>
    <t>JTSJCP04070</t>
  </si>
  <si>
    <t>视频直播</t>
  </si>
  <si>
    <t>JTSJCP04071</t>
  </si>
  <si>
    <t>安全加速</t>
  </si>
  <si>
    <t>JTSJCP04072</t>
  </si>
  <si>
    <t>应用加速</t>
  </si>
  <si>
    <t>JTSJCP01131</t>
  </si>
  <si>
    <t>天翼云SD-WAN翼惠联子产品</t>
  </si>
  <si>
    <t>云</t>
  </si>
  <si>
    <t>产业数字化-资源型服务-组网专线-项目型组网专线-云组网专线-资源池接入专线-SD-WAN</t>
  </si>
  <si>
    <t>JTSJCP01132</t>
  </si>
  <si>
    <t>天翼云SD-WAN翼互联子产品</t>
  </si>
  <si>
    <t>JTSJCP01133</t>
  </si>
  <si>
    <t>天翼云SD-WAN翼际联子产品</t>
  </si>
  <si>
    <t>JTSJCP01135</t>
  </si>
  <si>
    <t>智算云主机</t>
  </si>
  <si>
    <t>产业数字化-ICT业务-行业云产品-标品销售公有云产品-IaaS-计算服务-智算公有云</t>
  </si>
  <si>
    <t>2694;2697;</t>
  </si>
  <si>
    <t>产业数字化-ICT业务-行业云产品-标品销售公有云产品-IaaS-计算服务-智算公有云;产业数字化-ICT业务-行业云产品-项目中公有云产品-IaaS-计算服务-智算公有云</t>
  </si>
  <si>
    <t>JTSJCP02008</t>
  </si>
  <si>
    <t>云录播</t>
  </si>
  <si>
    <t>学校数量</t>
  </si>
  <si>
    <t>JTSJCP02011</t>
  </si>
  <si>
    <t>医疗影像云存储</t>
  </si>
  <si>
    <t>JTSJCP02012</t>
  </si>
  <si>
    <t>医疗影像云移动应用</t>
  </si>
  <si>
    <t>JTSJCP02013</t>
  </si>
  <si>
    <t>医疗影像云PACS应用</t>
  </si>
  <si>
    <t>JTSJCP02023</t>
  </si>
  <si>
    <t>云集成服务</t>
  </si>
  <si>
    <t>JTSJCP02091</t>
  </si>
  <si>
    <t>云间高速-IPVPN</t>
  </si>
  <si>
    <t>产业数字化-ICT业务-行业云产品-非项目销售公有云产品-IaaS-云网服务-云间高速</t>
  </si>
  <si>
    <t>产业数字化-ICT业务-行业云产品-标品销售公有云产品-IaaS-云网服务-云间高速</t>
  </si>
  <si>
    <t>JTSJCP02092</t>
  </si>
  <si>
    <t>云间高速-VLL</t>
  </si>
  <si>
    <t>JTSJCP02201</t>
  </si>
  <si>
    <t>天翼云盘（企业版）</t>
  </si>
  <si>
    <t>产业数字化-ICT业务-行业云产品-非项目销售公有云产品-SaaS-天翼云盘-企业版</t>
  </si>
  <si>
    <t>产业数字化-ICT业务-行业云产品-标品销售公有云产品-SaaS-天翼云盘-企业版</t>
  </si>
  <si>
    <t>JTSJCP02309</t>
  </si>
  <si>
    <t>云课堂</t>
  </si>
  <si>
    <t>JTSJCP04012</t>
  </si>
  <si>
    <t>私有云</t>
  </si>
  <si>
    <t>JTSJCP04074</t>
  </si>
  <si>
    <t>政务云</t>
  </si>
  <si>
    <t>JTSJCP04075</t>
  </si>
  <si>
    <t>央企国资云</t>
  </si>
  <si>
    <t>JTSJCPDL201901</t>
  </si>
  <si>
    <t>ICT-IDC业务</t>
  </si>
  <si>
    <t>JTSJCP02024</t>
  </si>
  <si>
    <t>机架托管服务（原机架出租）</t>
  </si>
  <si>
    <t>机架数量</t>
  </si>
  <si>
    <t>IDC</t>
  </si>
  <si>
    <t>050402</t>
  </si>
  <si>
    <t>数据中心机架平台(三星)</t>
  </si>
  <si>
    <t>2978(标）、2999(项)</t>
  </si>
  <si>
    <t>产业数字化-资源型服务-IDC-项目型IDC-基础IDC-主机托管-境内-普通IDC</t>
  </si>
  <si>
    <t>2999;3000;3001</t>
  </si>
  <si>
    <t>产业数字化-资源型服务-IDC-项目型IDC-基础IDC-主机托管-境内-普通IDC;产业数字化-资源型服务-IDC-项目型IDC-基础IDC-主机托管-境内-绿色IDC;产业数字化-资源型服务-IDC-项目型IDC-基础IDC-主机托管-境外</t>
  </si>
  <si>
    <t>JTSJCP02026</t>
  </si>
  <si>
    <t>数据中心互联网接入服务</t>
  </si>
  <si>
    <t>2991(标）、3014(项)</t>
  </si>
  <si>
    <t>产业数字化-资源型服务-IDC-项目型IDC-基础IDC-其他</t>
  </si>
  <si>
    <t>3012;3013;3014;1433;1947;1950</t>
  </si>
  <si>
    <t>产业数字化-资源型服务-IDC-项目型IDC-基础IDC-IDC维护服务-IDC代维;产业数字化-资源型服务-IDC-项目型IDC-基础IDC-IDC维护服务-其他;产业数字化-资源型服务-IDC-项目型IDC-基础IDC-其他;产业数字化-ICT业务-行业安全产品-云堤服务-DDoS攻击防护-IDC安全服务;产业数字化-ICT业务-行业安全产品-云堤服务-等保助手;产业数字化-ICT业务-行业安全产品-其他</t>
  </si>
  <si>
    <t>JTSJCP01136</t>
  </si>
  <si>
    <t>智算私有云</t>
  </si>
  <si>
    <t>产业数字化-ICT业务-行业云产品-私有云产品-智算私有云</t>
  </si>
  <si>
    <t>JTSJCP01148</t>
  </si>
  <si>
    <t>互联网带宽出租</t>
  </si>
  <si>
    <t>2982(标）、3004(项)</t>
  </si>
  <si>
    <t>产业数字化-资源型服务-IDC-标品型-基础IDC-宽带端口-普通IDC</t>
  </si>
  <si>
    <t>2982;2983</t>
  </si>
  <si>
    <t>产业数字化-资源型服务-IDC-标品型-基础IDC-宽带端口-普通IDC;产业数字化-资源型服务-IDC-标品型-基础IDC-宽带端口-绿色IDC</t>
  </si>
  <si>
    <t>JTSJCP01149</t>
  </si>
  <si>
    <t>机位托管服务（原机位出租）</t>
  </si>
  <si>
    <t>2999;3000</t>
  </si>
  <si>
    <t>产业数字化-资源型服务-IDC-项目型IDC-基础IDC-主机托管-境内-普通IDC;产业数字化-资源型服务-IDC-项目型IDC-基础IDC-主机托管-境内-绿色IDC</t>
  </si>
  <si>
    <t>JTSJCP01150</t>
  </si>
  <si>
    <t>VIP机房托管服务（原VIP 机房出租）</t>
  </si>
  <si>
    <t>JTSJCP01151</t>
  </si>
  <si>
    <t>电力服务（原电力出租）</t>
  </si>
  <si>
    <t>JTSJCP04007</t>
  </si>
  <si>
    <t>5G切片专线</t>
  </si>
  <si>
    <t>产业数字化-资源型服务-5G定制网-标品型5G定制网-5G云专线</t>
  </si>
  <si>
    <t>JTSJCP04008</t>
  </si>
  <si>
    <t>5G定制网边缘定制（MEC）</t>
  </si>
  <si>
    <t>产业数字化-资源型服务-5G定制网-项目型5G定制网-边缘定制</t>
  </si>
  <si>
    <t>JTSJCP04082</t>
  </si>
  <si>
    <t>绿色照明</t>
  </si>
  <si>
    <t>需求量</t>
  </si>
  <si>
    <t>3118(标）、3128(项)</t>
  </si>
  <si>
    <t>产业数字化-资源型服务-物联网-标品型物联网-应用服务-行业应用-能源应用</t>
  </si>
  <si>
    <t>3118;3128;</t>
  </si>
  <si>
    <t>产业数字化-资源型服务-物联网-标品型物联网-应用服务-行业应用-能源应用;产业数字化-资源型服务-物联网-项目型物联网-应用服务-行业应用-能源应用</t>
  </si>
  <si>
    <t>JTSJCP04083</t>
  </si>
  <si>
    <t>天翼AI行业大模型（SaaS版）</t>
  </si>
  <si>
    <t>账户数</t>
  </si>
  <si>
    <t>2870;2871;2872;2873;2874;2875;2876;2877;2878;2879;2881;2883;2884;2885</t>
  </si>
  <si>
    <t>产业数字化-ICT业务-行业AI产品-星辰大模型服务-行业大模型-政务大模型;产业数字化-ICT业务-行业AI产品-星辰大模型服务-行业大模型-卫健大模型;产业数字化-ICT业务-行业AI产品-星辰大模型服务-行业大模型-应急大模型;产业数字化-ICT业务-行业AI产品-星辰大模型服务-行业大模型-政法公安大模型;产业数字化-ICT业务-行业AI产品-星辰大模型服务-行业大模型-农业大模型;产业数字化-ICT业务-行业AI产品-星辰大模型服务-行业大模型-住建大模型;产业数字化-ICT业务-行业AI产品-星辰大模型服务-行业大模型-文宣大模型;产业数字化-ICT业务-行业AI产品-星辰大模型服务-行业大模型-工业大模型;产业数字化-ICT业务-行业AI产品-星辰大模型服务-行业大模型-交通大模型;产业数字化-ICT业务-行业AI产品-星辰大模型服务-行业大模型-教育大模型;产业数字化-ICT业务-行业AI产品-星辰大模型服务-行业大模型-金融大模型;产业数字化-ICT业务-行业AI产品-星辰大模型服务-行业大模型-互联网大模型;产业数字化-ICT业务-行业AI产品-星辰大模型服务-行业大模型-车企大模型;产业数字化-ICT业务-行业AI产品-星辰大模型服务-行业大模型-能源大模型;产业数字化-ICT业务-行业AI产品-星辰大模型服务-行业大模型-其他</t>
  </si>
  <si>
    <t>JTSJCP04084</t>
  </si>
  <si>
    <t>息壤</t>
  </si>
  <si>
    <t>版本;服务模式</t>
  </si>
  <si>
    <t>产业数字化-ICT业务-行业云产品-非项目销售公有云产品-PaaS-算网一体服务平台</t>
  </si>
  <si>
    <t>2386;2666</t>
  </si>
  <si>
    <t>产业数字化-ICT业务-行业云产品-标品销售公有云产品-PaaS-息壤平台;产业数字化-ICT业务-行业云产品-项目中公有云产品-PaaS-息壤平台</t>
  </si>
  <si>
    <t>JTSJCP04085</t>
  </si>
  <si>
    <t>一体机</t>
  </si>
  <si>
    <t>产业数字化-ICT业务-行业云产品-私有云产品-一体机服务-通用私有一体机服务</t>
  </si>
  <si>
    <t>JTSJCP04086</t>
  </si>
  <si>
    <t>渲染云主机</t>
  </si>
  <si>
    <t>产业数字化-ICT业务-行业云产品-非项目销售公有云产品-边缘云-自研</t>
  </si>
  <si>
    <t>3178;3185</t>
  </si>
  <si>
    <t>产业数字化-ICT业务-行业云产品-非项目销售公有云产品-边缘云-自研；产业数字化-ICT业务-行业云产品-项目中公有云产品-边缘云-自研</t>
  </si>
  <si>
    <t>JTSJCP04096</t>
  </si>
  <si>
    <t>IP地址服务（原IP地址出租）</t>
  </si>
  <si>
    <t>JTSJCP04097</t>
  </si>
  <si>
    <t>工作附属区服务（原工作附属区出租）</t>
  </si>
  <si>
    <t>JTSJCP04135</t>
  </si>
  <si>
    <t>企业全光组网（FTTR-B)</t>
  </si>
  <si>
    <t>插件、容器化应用</t>
  </si>
  <si>
    <t>产业数字化-ICT业务-标准ICT业务-企业全光组网（FTTR-B）-高阶网关服务</t>
  </si>
  <si>
    <t>集成服务（维保）</t>
  </si>
  <si>
    <t>产业数字化-ICT业务-集成-集成服务-平台集成-维保服务费</t>
  </si>
  <si>
    <t>集成服务（小微ICT）</t>
  </si>
  <si>
    <t>产业数字化-ICT业务-集成-集成服务-标准ICT集成</t>
  </si>
  <si>
    <t>通信管道出租（裸光纤）</t>
  </si>
  <si>
    <t>固网及智慧家庭服务-其他固网通信服务-固网通信网络资源服务收入-光纤、管孔、管道出租</t>
  </si>
  <si>
    <t>代收代付（毛利）</t>
  </si>
  <si>
    <t>其他-固网其他-其他</t>
  </si>
  <si>
    <t>移动通信服务-移动语音-语音收入-国内通话费</t>
  </si>
  <si>
    <t>备注：在配置表下方单列的收入项为其余A级指标收入项，集团未下发匹配的产品名称，待解析时一事一议</t>
  </si>
  <si>
    <t>移动通信服务-移动语音-语音收入-国际、港澳台通话费</t>
  </si>
  <si>
    <t>移动通信服务-移动语音-语音收入-国际、港澳台漫游费通话费-漫游语音包通话费</t>
  </si>
  <si>
    <t>移动通信服务-移动语音-语音收入-国际、港澳台漫游费通话费-漫游非语音包通话费</t>
  </si>
  <si>
    <t>移动通信服务-移动语音-语音收入-移动语音结算-移动语音上市非上市结算</t>
  </si>
  <si>
    <t>移动通信服务-移动语音-语音收入-移动语音结算-移动语音漫游结算</t>
  </si>
  <si>
    <t>移动通信服务-移动语音-语音收入-移动语音结算-移动语音网间结算-国内运营商网间结算-本地网网间结算-中国移动</t>
  </si>
  <si>
    <t>移动通信服务-移动语音-语音收入-移动语音结算-移动语音网间结算-国内运营商网间结算-本地网网间结算-中国联通</t>
  </si>
  <si>
    <t>移动通信服务-移动语音-语音收入-移动语音结算-移动语音网间结算-国内运营商网间结算-本地网网间结算-中国广电</t>
  </si>
  <si>
    <t>移动通信服务-移动语音-语音收入-移动语音结算-移动语音网间结算-国内运营商网间结算-国内长途网间结算-中国移动</t>
  </si>
  <si>
    <t>移动通信服务-移动语音-语音收入-移动语音结算-移动语音网间结算-国内运营商网间结算-国内长途网间结算-中国联通</t>
  </si>
  <si>
    <t>移动通信服务-移动语音-语音收入-移动语音结算-移动语音网间结算-国内运营商网间结算-国内长途网间结算-中国广电</t>
  </si>
  <si>
    <t>移动通信服务-移动语音-语音收入-移动语音结算-移动语音网间结算-国际、港澳台运营商网间结算</t>
  </si>
  <si>
    <t>移动通信服务-移动语音-语音收入-移动语音结算-国际及港澳台运营商漫游结算</t>
  </si>
  <si>
    <t>移动通信服务-移动语音-其他</t>
  </si>
  <si>
    <t>移动通信服务-手机上网-套内流量</t>
  </si>
  <si>
    <t>移动通信服务-手机上网-套外标准资费</t>
  </si>
  <si>
    <t>移动通信服务-手机上网-流量包-权益包模式流量包</t>
  </si>
  <si>
    <t>移动通信服务-手机上网-流量包-非权益包模式流量包</t>
  </si>
  <si>
    <t>移动通信服务-手机上网-定向流量-权益包模式定向流量</t>
  </si>
  <si>
    <t>移动通信服务-手机上网-定向流量-非权益包模式定向流量</t>
  </si>
  <si>
    <t>移动通信服务-手机上网-后向流量-后向定向流量</t>
  </si>
  <si>
    <t>移动通信服务-手机上网-后向流量-后向非定向流量</t>
  </si>
  <si>
    <t>移动通信服务-手机上网-移动数据漫游-国际及港澳台漫游流量包</t>
  </si>
  <si>
    <t>移动通信服务-手机上网-移动数据漫游-国际及港澳台漫游非流量包</t>
  </si>
  <si>
    <t>移动通信服务-手机上网-移动数据结算-网内结算-移动流量漫游结算</t>
  </si>
  <si>
    <t>移动通信服务-手机上网-移动数据结算-网内结算-天翼宽带漫游结算</t>
  </si>
  <si>
    <t>移动通信服务-手机上网-移动数据结算-国际、港澳台漫游结算</t>
  </si>
  <si>
    <t>移动通信服务-手机上网-其他</t>
  </si>
  <si>
    <t>移动通信服务-移动消息-短彩信收入-短信-发国内点对点短信收入</t>
  </si>
  <si>
    <t>移动通信服务-移动消息-短彩信收入-短信-发国际、港澳台点对点短信收入</t>
  </si>
  <si>
    <t>移动通信服务-移动消息-短彩信收入-短信-国际、港澳台漫游短信收入</t>
  </si>
  <si>
    <t>移动通信服务-移动消息-短彩信收入-短信-SP短信信息费收入-收入（大收）</t>
  </si>
  <si>
    <t>移动通信服务-移动消息-短彩信收入-短信-SP短信信息费收入-CP/SP结算支出</t>
  </si>
  <si>
    <t>移动通信服务-移动消息-短彩信收入-彩信</t>
  </si>
  <si>
    <t>移动通信服务-移动消息-个人5G消息</t>
  </si>
  <si>
    <t>移动通信服务-移动消息-信息订制（净收）-收入（大收）</t>
  </si>
  <si>
    <t>移动通信服务-移动消息-信息订制（净收）-CP/SP结算支出</t>
  </si>
  <si>
    <t>移动通信服务-移动消息-行业类消息-行业短彩信-行业短信</t>
  </si>
  <si>
    <t>移动通信服务-移动消息-行业类消息-行业短彩信-行业彩信</t>
  </si>
  <si>
    <t>移动通信服务-移动消息-行业类消息-行业短彩信-云翼信</t>
  </si>
  <si>
    <t>移动通信服务-移动消息-行业类消息-行业5G消息</t>
  </si>
  <si>
    <t>移动通信服务-移动消息-行业类消息-企业信息服务-收入（大收）</t>
  </si>
  <si>
    <t>移动通信服务-移动消息-行业类消息-企业信息服务-CP/SP结算支出</t>
  </si>
  <si>
    <t>移动通信服务-移动消息-消息结算-国内运营商网间结算-短信结算-中国移动</t>
  </si>
  <si>
    <t>移动通信服务-移动消息-消息结算-国内运营商网间结算-短信结算-中国联通</t>
  </si>
  <si>
    <t>移动通信服务-移动消息-消息结算-国内运营商网间结算-短信结算-中国广电</t>
  </si>
  <si>
    <t>移动通信服务-移动消息-消息结算-国内运营商网间结算-彩信结算-中国移动</t>
  </si>
  <si>
    <t>移动通信服务-移动消息-消息结算-国内运营商网间结算-彩信结算-中国联通</t>
  </si>
  <si>
    <t>移动通信服务-移动消息-消息结算-国际、港澳台运营商网间结算</t>
  </si>
  <si>
    <t>移动通信服务-移动消息-消息结算-国际及港澳台运营商短信漫游结算</t>
  </si>
  <si>
    <t>移动通信服务-移动消息-消息结算-行业短彩信结算-行业短信结算</t>
  </si>
  <si>
    <t>移动通信服务-移动消息-消息结算-行业短彩信结算-行业彩信结算</t>
  </si>
  <si>
    <t>移动通信服务-移动增值业务-副卡功能费</t>
  </si>
  <si>
    <t>移动通信服务-移动增值业务-来电显示</t>
  </si>
  <si>
    <t>移动通信服务-移动增值业务-停机保号</t>
  </si>
  <si>
    <t>移动通信服务-移动增值业务-天翼亲情网</t>
  </si>
  <si>
    <t>移动通信服务-移动增值业务-统一账号</t>
  </si>
  <si>
    <t>移动通信服务-移动增值业务-其他</t>
  </si>
  <si>
    <t>移动通信服务-移动信息化应用-个人云产品-天翼云盘-会员服务费</t>
  </si>
  <si>
    <t>移动通信服务-移动信息化应用-个人云产品-天翼云手机</t>
  </si>
  <si>
    <t>移动通信服务-移动信息化应用-个人AI产品-AI通信助理（净收）-收入（大收）</t>
  </si>
  <si>
    <t>移动通信服务-移动信息化应用-个人AI产品-AI通信助理（净收）-CP/SP结算支出</t>
  </si>
  <si>
    <t>移动通信服务-移动信息化应用-个人AI产品-天翼智能防诈</t>
  </si>
  <si>
    <t>移动通信服务-移动信息化应用-个人AI产品-云智手机</t>
  </si>
  <si>
    <t>移动通信服务-移动信息化应用-个人AI产品-其他</t>
  </si>
  <si>
    <t>移动通信服务-移动信息化应用-个人安全产品-天翼防骚扰</t>
  </si>
  <si>
    <t>移动通信服务-移动信息化应用-个人安全产品-其他</t>
  </si>
  <si>
    <t>9.0%/6.0%</t>
  </si>
  <si>
    <t>移动通信服务-移动信息化应用-卫星移动业务-合作星</t>
  </si>
  <si>
    <t>移动通信服务-移动信息化应用-卫星移动业务-天通卫星</t>
  </si>
  <si>
    <t>移动通信服务-移动信息化应用-卫星移动业务-手机直连卫星</t>
  </si>
  <si>
    <t>移动通信服务-移动信息化应用-卫星移动业务-汽车直连卫星</t>
  </si>
  <si>
    <t>移动通信服务-移动信息化应用-卫星移动业务-其他</t>
  </si>
  <si>
    <t>移动通信服务-移动信息化应用-量子密话-收入（大收）</t>
  </si>
  <si>
    <t>移动通信服务-移动信息化应用-量子密话-CP/SP结算支出</t>
  </si>
  <si>
    <t>移动通信服务-移动信息化应用-移动内容服务-移动用户音乐内容服务-公众用户视频彩铃-AI视频彩铃-功能费</t>
  </si>
  <si>
    <t>移动通信服务-移动信息化应用-移动内容服务-移动用户音乐内容服务-公众用户视频彩铃-AI视频彩铃-信息费-收入（大收）</t>
  </si>
  <si>
    <t>移动通信服务-移动信息化应用-移动内容服务-移动用户音乐内容服务-公众用户视频彩铃-AI视频彩铃-信息费-CP/SP结算支出</t>
  </si>
  <si>
    <t>移动通信服务-移动信息化应用-移动内容服务-移动用户音乐内容服务-公众用户视频彩铃-AI视频彩铃-天翼智铃</t>
  </si>
  <si>
    <t>移动通信服务-移动信息化应用-移动内容服务-移动用户音乐内容服务-公众用户视频彩铃-普通视频彩铃-功能费</t>
  </si>
  <si>
    <t>移动通信服务-移动信息化应用-移动内容服务-移动用户音乐内容服务-公众用户视频彩铃-普通视频彩铃-信息费-收入（大收）</t>
  </si>
  <si>
    <t>移动通信服务-移动信息化应用-移动内容服务-移动用户音乐内容服务-公众用户视频彩铃-普通视频彩铃-信息费-CP/SP结算支出</t>
  </si>
  <si>
    <t>移动通信服务-移动信息化应用-移动内容服务-移动用户音乐内容服务-政企用户视频彩铃-功能费</t>
  </si>
  <si>
    <t>移动通信服务-移动信息化应用-移动内容服务-移动用户音乐内容服务-政企用户视频彩铃-信息费-收入（大收）</t>
  </si>
  <si>
    <t>移动通信服务-移动信息化应用-移动内容服务-移动用户音乐内容服务-政企用户视频彩铃-信息费-CP/SP结算支出</t>
  </si>
  <si>
    <t>移动通信服务-移动信息化应用-移动内容服务-移动用户音乐内容服务-音频彩铃-功能费</t>
  </si>
  <si>
    <t>移动通信服务-移动信息化应用-移动内容服务-移动用户音乐内容服务-音频彩铃-信息费（净收）-收入（大收）</t>
  </si>
  <si>
    <t>移动通信服务-移动信息化应用-移动内容服务-移动用户音乐内容服务-音频彩铃-信息费（净收）-CP/SP结算支出</t>
  </si>
  <si>
    <t>移动通信服务-移动信息化应用-移动内容服务-移动用户音乐内容服务-其他-收入（大收）</t>
  </si>
  <si>
    <t>移动通信服务-移动信息化应用-移动内容服务-移动用户音乐内容服务-其他-CP/SP结算支出</t>
  </si>
  <si>
    <t>移动通信服务-移动信息化应用-移动内容服务-视频内容服务-天翼超高清-收入（大收）</t>
  </si>
  <si>
    <t>移动通信服务-移动信息化应用-移动内容服务-视频内容服务-天翼超高清-CP/SP结算支出</t>
  </si>
  <si>
    <t>移动通信服务-移动信息化应用-移动内容服务-视频内容服务-天翼云VR/AR-收入（大收）</t>
  </si>
  <si>
    <t>移动通信服务-移动信息化应用-移动内容服务-视频内容服务-天翼云VR/AR-CP/SP结算支出</t>
  </si>
  <si>
    <t>移动通信服务-移动信息化应用-移动内容服务-视频内容服务-其他-收入（大收）</t>
  </si>
  <si>
    <t>移动通信服务-移动信息化应用-移动内容服务-视频内容服务-其他-CP/SP结算支出</t>
  </si>
  <si>
    <t>移动通信服务-移动信息化应用-移动内容服务-游戏内容服务-天翼云游戏-收入（大收）</t>
  </si>
  <si>
    <t>移动通信服务-移动信息化应用-移动内容服务-游戏内容服务-天翼云游戏-CP/SP结算支出</t>
  </si>
  <si>
    <t>移动通信服务-移动信息化应用-移动内容服务-声讯业务（净收）-收入（大收）</t>
  </si>
  <si>
    <t>移动通信服务-移动信息化应用-移动内容服务-声讯业务（净收）-CP/SP结算支出</t>
  </si>
  <si>
    <t>移动通信服务-移动信息化应用-移动内容服务-合作权益收入-收入（大收）</t>
  </si>
  <si>
    <t>移动通信服务-移动信息化应用-移动内容服务-合作权益收入-CP/SP结算支出</t>
  </si>
  <si>
    <t>移动通信服务-移动信息化应用-移动内容服务-189邮箱</t>
  </si>
  <si>
    <t>移动通信服务-移动信息化应用-移动内容服务-易信（净收）-收入（大收）</t>
  </si>
  <si>
    <t>移动通信服务-移动信息化应用-移动内容服务-易信（净收）-CP/SP结算支出</t>
  </si>
  <si>
    <t>移动通信服务-移动信息化应用-移动内容服务-来电名片（个人版）</t>
  </si>
  <si>
    <t>移动通信服务-移动信息化应用-移动内容服务-其他-收入（大收）</t>
  </si>
  <si>
    <t>移动通信服务-移动信息化应用-移动内容服务-其他-CP/SP结算支出</t>
  </si>
  <si>
    <t>9%、3%</t>
  </si>
  <si>
    <t>移动通信服务-其他移动通信服务-移动通信网络资源服务收入-移动通信设备共享服务收入-机房及配套资源合作收入</t>
  </si>
  <si>
    <t>移动通信服务-其他移动通信服务-移动通信网络资源服务收入-移动通信设备共享服务收入-传输线路资源合作收入</t>
  </si>
  <si>
    <t>9%/6%</t>
  </si>
  <si>
    <t>移动通信服务-其他移动通信服务-移动通信网络资源服务收入-移动通信设备共享服务收入-其他共享合作收入</t>
  </si>
  <si>
    <t>移动通信服务-其他移动通信服务-移动通信网络资源服务收入-移动网络能力共享服务收入-4G移动网络能力共享服务收入</t>
  </si>
  <si>
    <t>移动通信服务-其他移动通信服务-移动通信网络资源服务收入-移动网络能力共享服务收入-其他</t>
  </si>
  <si>
    <t>移动通信服务-其他移动通信服务-移动通信网络资源服务收入-移动其他网络资源服务收入</t>
  </si>
  <si>
    <t>移动通信服务-其他移动通信服务-移动转售收入-语音收入</t>
  </si>
  <si>
    <t>移动通信服务-其他移动通信服务-移动转售收入-短信收入</t>
  </si>
  <si>
    <t>移动通信服务-其他移动通信服务-移动转售收入-流量收入</t>
  </si>
  <si>
    <t>移动通信服务-其他移动通信服务-移动转售收入-其他增值收入</t>
  </si>
  <si>
    <t>移动通信服务-其他移动通信服务-移动相关品牌及广告-百事通加盟收入（净收）-收入（大收）</t>
  </si>
  <si>
    <t>移动通信服务-其他移动通信服务-移动相关品牌及广告-百事通加盟收入（净收）-CP/SP结算支出</t>
  </si>
  <si>
    <t>移动通信服务-其他移动通信服务-移动相关品牌及广告-移动广告</t>
  </si>
  <si>
    <t>移动通信服务-其他移动通信服务-移动相关品牌及广告-其他</t>
  </si>
  <si>
    <t>移动通信服务-其他移动通信服务-数字集群收入</t>
  </si>
  <si>
    <t/>
  </si>
  <si>
    <t>移动通信服务-其他移动通信服务-其他</t>
  </si>
  <si>
    <t>固网及智慧家庭服务-固定电话-固网语音-装移机收入</t>
  </si>
  <si>
    <t>固网及智慧家庭服务-固定电话-固网语音-语音收入-本地通话费</t>
  </si>
  <si>
    <t>固网及智慧家庭服务-固定电话-固网语音-语音收入-国内长途通话费</t>
  </si>
  <si>
    <t>固网及智慧家庭服务-固定电话-固网语音-语音收入-国内通话费</t>
  </si>
  <si>
    <t>固网及智慧家庭服务-固定电话-固网语音-语音收入-国际、港澳台长途通话费</t>
  </si>
  <si>
    <t>固网及智慧家庭服务-固定电话-固网语音-后向收入（400/800）</t>
  </si>
  <si>
    <t>固网及智慧家庭服务-固定电话-固网语音-固网语音结算-固网语音上市非上市结算-固网本地结算</t>
  </si>
  <si>
    <t>固网及智慧家庭服务-固定电话-固网语音-固网语音结算-固网语音上市非上市结算-固网国内长途结算</t>
  </si>
  <si>
    <t>固网及智慧家庭服务-固定电话-固网语音-固网语音结算-固网语音上市非上市结算-其他结算</t>
  </si>
  <si>
    <t>固网及智慧家庭服务-固定电话-固网语音-固网语音结算-固网语音网间结算-国内运营商网间结算-国内长途互联互通结算-中国移动</t>
  </si>
  <si>
    <t>固网及智慧家庭服务-固定电话-固网语音-固网语音结算-固网语音网间结算-国内运营商网间结算-国内长途互联互通结算-中国联通</t>
  </si>
  <si>
    <t>固网及智慧家庭服务-固定电话-固网语音-固网语音结算-固网语音网间结算-国内运营商网间结算-国内长途互联互通结算-中国广电</t>
  </si>
  <si>
    <t>固网及智慧家庭服务-固定电话-固网语音-固网语音结算-固网语音网间结算-国内运营商网间结算-本地网互联互通结算-中国移动</t>
  </si>
  <si>
    <t>固网及智慧家庭服务-固定电话-固网语音-固网语音结算-固网语音网间结算-国内运营商网间结算-本地网互联互通结算-中国联通</t>
  </si>
  <si>
    <t>固网及智慧家庭服务-固定电话-固网语音-固网语音结算-固网语音网间结算-国内运营商网间结算-本地网互联互通结算-中国广电</t>
  </si>
  <si>
    <t>固网及智慧家庭服务-固定电话-固网语音-固网语音结算-固网语音网间结算-国际、港澳台运营商网间结算</t>
  </si>
  <si>
    <t>固网及智慧家庭服务-固定电话-固网语音-其他</t>
  </si>
  <si>
    <t>固网及智慧家庭服务-固定电话-固网增值业务-来电显示</t>
  </si>
  <si>
    <t>固网及智慧家庭服务-固定电话-固网增值业务-短信（净收）</t>
  </si>
  <si>
    <t>固网及智慧家庭服务-固定电话-固网增值业务-其他-收入（大收）</t>
  </si>
  <si>
    <t>固网及智慧家庭服务-固定电话-企业总机-CP/SP结算支出</t>
  </si>
  <si>
    <t>固网及智慧家庭服务-互联网宽带接入-普通宽带-装移机收入</t>
  </si>
  <si>
    <t>固网及智慧家庭服务-互联网宽带接入-普通宽带-业务调测费</t>
  </si>
  <si>
    <t>固网及智慧家庭服务-互联网宽带接入-普通宽带-宽带接入收入-FTTH/O</t>
  </si>
  <si>
    <t>固网及智慧家庭服务-互联网宽带接入-普通宽带-宽带接入收入-ADSL</t>
  </si>
  <si>
    <t>固网及智慧家庭服务-互联网宽带接入-普通宽带-宽带接入收入-LAN</t>
  </si>
  <si>
    <t>固网及智慧家庭服务-互联网宽带接入-普通宽带-云宽带</t>
  </si>
  <si>
    <t>固网及智慧家庭服务-互联网宽带接入-普通宽带-智能提速</t>
  </si>
  <si>
    <t>固网及智慧家庭服务-互联网宽带接入-普通宽带-国际加速-收入（大收）</t>
  </si>
  <si>
    <t>固网及智慧家庭服务-互联网宽带接入-普通宽带-国际加速-CP/SP结算支出</t>
  </si>
  <si>
    <t>固网及智慧家庭服务-互联网宽带接入-普通宽带-其他-收入（大收）</t>
  </si>
  <si>
    <t>固网及智慧家庭服务-互联网宽带接入-普通宽带-其他-CP/SP结算支出</t>
  </si>
  <si>
    <t>固网及智慧家庭服务-互联网宽带接入-互联网专线-普通国内互联网专线收入-ADSL</t>
  </si>
  <si>
    <t>固网及智慧家庭服务-互联网宽带接入-互联网专线-普通国内互联网专线收入-LAN</t>
  </si>
  <si>
    <t>固网及智慧家庭服务-互联网宽带接入-互联网专线-普通国内互联网专线收入-光纤直驱</t>
  </si>
  <si>
    <t>固网及智慧家庭服务-互联网宽带接入-互联网专线-云互联网专线</t>
  </si>
  <si>
    <t>固网及智慧家庭服务-互联网宽带接入-互联网专线-互联网专线安全服务（云堤）-DDoS攻击防护服务（互联网）</t>
  </si>
  <si>
    <t>固网及智慧家庭服务-互联网宽带接入-互联网专线-互联网专线安全服务（云堤）-网站安全服务</t>
  </si>
  <si>
    <t>固网及智慧家庭服务-互联网宽带接入-互联网专线-互联网专线安全服务（云堤）-安全大脑</t>
  </si>
  <si>
    <t>固网及智慧家庭服务-互联网宽带接入-互联网专线-互联网专线安全服务（云堤）-云脉SASE</t>
  </si>
  <si>
    <t>固网及智慧家庭服务-互联网宽带接入-互联网专线-互联网专线安全服务（云堤）-云镜</t>
  </si>
  <si>
    <t>固网及智慧家庭服务-互联网宽带接入-互联网专线-互联网专线安全服务（云堤）-其他</t>
  </si>
  <si>
    <t>固网及智慧家庭服务-互联网宽带接入-互联网专线-其他互联网宽带接入业务-国际及港澳台互联网业务-境内客户</t>
  </si>
  <si>
    <t>固网及智慧家庭服务-互联网宽带接入-互联网专线-其他互联网宽带接入业务-国际及港澳台互联网业务-境外客户</t>
  </si>
  <si>
    <t>固网及智慧家庭服务-互联网宽带接入-互联网专线-其他互联网宽带接入业务-其他</t>
  </si>
  <si>
    <t>固网及智慧家庭服务-互联网宽带接入-卫星宽带-卫星资源服务</t>
  </si>
  <si>
    <t>固网及智慧家庭服务-智慧家庭-家庭云产品-家庭云</t>
  </si>
  <si>
    <t>固网及智慧家庭服务-智慧家庭-家庭云产品-天翼云电脑（公众版）-天翼AI云电脑（公众版）</t>
  </si>
  <si>
    <t>固网及智慧家庭服务-智慧家庭-家庭云产品-天翼云电脑（公众版）-其他</t>
  </si>
  <si>
    <t>固网及智慧家庭服务-智慧家庭-家庭云产品-其他</t>
  </si>
  <si>
    <t>固网及智慧家庭服务-智慧家庭-家庭AI产品-天翼智屏-安装调测费</t>
  </si>
  <si>
    <t>固网及智慧家庭服务-智慧家庭-家庭AI产品-天翼智屏-基础服务收入</t>
  </si>
  <si>
    <t>6%/13%</t>
  </si>
  <si>
    <t>固网及智慧家庭服务-智慧家庭-家庭AI产品-天翼智屏-天翼超高清智屏版</t>
  </si>
  <si>
    <t>固网及智慧家庭服务-智慧家庭-家庭AI产品-114AI便民服务</t>
  </si>
  <si>
    <t>固网及智慧家庭服务-智慧家庭-家庭AI产品-AI通信助理-收入（大收）</t>
  </si>
  <si>
    <t>固网及智慧家庭服务-智慧家庭-家庭AI产品-AI通信助理-CP/SP结算支出</t>
  </si>
  <si>
    <t>固网及智慧家庭服务-智慧家庭-家庭AI产品-其他</t>
  </si>
  <si>
    <t>固网及智慧家庭服务-智慧家庭-家庭安全产品-安全管家-收入（大收）</t>
  </si>
  <si>
    <t>固网及智慧家庭服务-智慧家庭-家庭安全产品-安全管家-CP/SP结算支出</t>
  </si>
  <si>
    <t>固网及智慧家庭服务-智慧家庭-家庭安全产品-其他</t>
  </si>
  <si>
    <t>固网及智慧家庭服务-智慧家庭-家庭组网业务-全屋WiFi-安装调测费</t>
  </si>
  <si>
    <t>固网及智慧家庭服务-智慧家庭-家庭组网业务-全屋WiFi-服务收入-一次性礼包服务收入</t>
  </si>
  <si>
    <t>固网及智慧家庭服务-智慧家庭-家庭组网业务-全屋WiFi-服务收入-月付型礼包服务收入</t>
  </si>
  <si>
    <t>固网及智慧家庭服务-智慧家庭-家庭组网业务-全光WiFi（FTTR）-安装调测费</t>
  </si>
  <si>
    <t>固网及智慧家庭服务-智慧家庭-家庭组网业务-全光WiFi（FTTR）-服务收入-一次性礼包服务收入</t>
  </si>
  <si>
    <t>固网及智慧家庭服务-智慧家庭-家庭组网业务-全光WiFi（FTTR）-服务收入-月付型礼包服务收入</t>
  </si>
  <si>
    <t>固网及智慧家庭服务-智慧家庭-家庭组网业务-全屋智能-安装调测费</t>
  </si>
  <si>
    <t>固网及智慧家庭服务-智慧家庭-家庭组网业务-全屋智能-服务收入-一次性礼包服务收入</t>
  </si>
  <si>
    <t>固网及智慧家庭服务-智慧家庭-家庭组网业务-全屋智能-服务收入-月付型礼包服务收入</t>
  </si>
  <si>
    <t>固网及智慧家庭服务-智慧家庭-家庭组网业务-全屋智能-翼家智话</t>
  </si>
  <si>
    <t>固网及智慧家庭服务-智慧家庭-家庭内容服务-固话用户音乐内容服务-公众视频彩铃-功能费</t>
  </si>
  <si>
    <t>固网及智慧家庭服务-智慧家庭-家庭内容服务-固话用户音乐内容服务-公众视频彩铃-信息费-收入（大收）</t>
  </si>
  <si>
    <t>固网及智慧家庭服务-智慧家庭-家庭内容服务-固话用户音乐内容服务-公众视频彩铃-信息费-CP/SP结算支出</t>
  </si>
  <si>
    <t>固网及智慧家庭服务-智慧家庭-家庭内容服务-固话用户音乐内容服务-政企视频彩铃-功能费</t>
  </si>
  <si>
    <t>固网及智慧家庭服务-智慧家庭-家庭内容服务-固话用户音乐内容服务-政企视频彩铃-信息费-收入（大收）</t>
  </si>
  <si>
    <t>固网及智慧家庭服务-智慧家庭-家庭内容服务-固话用户音乐内容服务-政企视频彩铃-信息费-CP/SP结算支出</t>
  </si>
  <si>
    <t>固网及智慧家庭服务-智慧家庭-家庭内容服务-固话用户音乐内容服务-固话音频彩铃-功能费</t>
  </si>
  <si>
    <t>固网及智慧家庭服务-智慧家庭-家庭内容服务-固话用户音乐内容服务-固话音频彩铃-信息费（净收）-收入（大收）</t>
  </si>
  <si>
    <t>固网及智慧家庭服务-智慧家庭-家庭内容服务-固话用户音乐内容服务-固话音频彩铃-信息费（净收）-CP/SP结算支出</t>
  </si>
  <si>
    <t>固网及智慧家庭服务-智慧家庭-家庭内容服务-固话用户音乐内容服务-其他-收入（大收）</t>
  </si>
  <si>
    <t>固网及智慧家庭服务-智慧家庭-家庭内容服务-固话用户音乐内容服务-其他-CP/SP结算支出</t>
  </si>
  <si>
    <t>固网及智慧家庭服务-智慧家庭-家庭内容服务-天翼高清-安装调测费</t>
  </si>
  <si>
    <t>固网及智慧家庭服务-智慧家庭-家庭内容服务-天翼高清-普通平台收入-基础内容使用费-收入（大收）</t>
  </si>
  <si>
    <t>固网及智慧家庭服务-智慧家庭-家庭内容服务-天翼高清-普通平台收入-基础内容使用费-CP/SP结算支出</t>
  </si>
  <si>
    <t>固网及智慧家庭服务-智慧家庭-家庭内容服务-天翼高清-普通平台收入-付费内容使用费-付费视听内容使用费-收入（大收）</t>
  </si>
  <si>
    <t>固网及智慧家庭服务-智慧家庭-家庭内容服务-天翼高清-普通平台收入-付费内容使用费-付费视听内容使用费-CP/SP结算支出</t>
  </si>
  <si>
    <t>固网及智慧家庭服务-智慧家庭-家庭内容服务-天翼高清-普通平台收入-付费内容使用费-付费非视听内容使用费-收入（大收）</t>
  </si>
  <si>
    <t>固网及智慧家庭服务-智慧家庭-家庭内容服务-天翼高清-普通平台收入-付费内容使用费-付费非视听内容使用费-CP/SP结算支出</t>
  </si>
  <si>
    <t>固网及智慧家庭服务-智慧家庭-家庭内容服务-天翼高清-云平台收入-基础内容使用费-收入（大收）</t>
  </si>
  <si>
    <t>固网及智慧家庭服务-智慧家庭-家庭内容服务-天翼高清-云平台收入-基础内容使用费-CP/SP结算支出</t>
  </si>
  <si>
    <t>固网及智慧家庭服务-智慧家庭-家庭内容服务-天翼高清-云平台收入-增值服务费-付费视听内容使用费-收入（大收）</t>
  </si>
  <si>
    <t>固网及智慧家庭服务-智慧家庭-家庭内容服务-天翼高清-云平台收入-增值服务费-付费视听内容使用费-CP/SP结算支出</t>
  </si>
  <si>
    <t>固网及智慧家庭服务-智慧家庭-家庭内容服务-天翼高清-云平台收入-增值服务费-付费非视听内容使用费-收入（大收）</t>
  </si>
  <si>
    <t>固网及智慧家庭服务-智慧家庭-家庭内容服务-天翼高清-云平台收入-增值服务费-付费非视听内容使用费-CP/SP结算支出</t>
  </si>
  <si>
    <t>固网及智慧家庭服务-智慧家庭-家庭内容服务-天翼高清-天翼高清行业版-普通平台-收入（大收）</t>
  </si>
  <si>
    <t>固网及智慧家庭服务-智慧家庭-家庭内容服务-天翼高清-天翼高清行业版-普通平台-CP/SP结算支出</t>
  </si>
  <si>
    <t>固网及智慧家庭服务-智慧家庭-家庭内容服务-天翼高清-天翼高清行业版-云平台-收入（大收）</t>
  </si>
  <si>
    <t>固网及智慧家庭服务-智慧家庭-家庭内容服务-天翼高清-天翼高清行业版-云平台-CP/SP结算支出</t>
  </si>
  <si>
    <t>固网及智慧家庭服务-智慧家庭-家庭内容服务-天翼高清-合作权益收入-收入（大收）</t>
  </si>
  <si>
    <t>固网及智慧家庭服务-智慧家庭-家庭内容服务-天翼高清-合作权益收入-结算支出</t>
  </si>
  <si>
    <t>固网及智慧家庭服务-智慧家庭-家庭内容服务-天翼高清-其他-收入（大收）</t>
  </si>
  <si>
    <t>固网及智慧家庭服务-智慧家庭-家庭内容服务-天翼高清-其他-CP/SP结算支出</t>
  </si>
  <si>
    <t>固网及智慧家庭服务-智慧家庭-天翼视联（公众版）-安装调测费</t>
  </si>
  <si>
    <t>固网及智慧家庭服务-智慧家庭-天翼视联（公众版）-服务收入-一次性礼包服务收入</t>
  </si>
  <si>
    <t>固网及智慧家庭服务-智慧家庭-天翼视联（公众版）-服务收入-月付型礼包服务收入</t>
  </si>
  <si>
    <t>固网及智慧家庭服务-智慧家庭-天翼视联（公众版）-云回看服务收入-一次性礼包云回看服务收入</t>
  </si>
  <si>
    <t>固网及智慧家庭服务-智慧家庭-天翼视联（公众版）-云回看服务收入-月付型礼包云回看服务收入</t>
  </si>
  <si>
    <t>固网及智慧家庭服务-智慧家庭-天翼视联（公众版）-AI公众服务收入</t>
  </si>
  <si>
    <t>固网及智慧家庭服务-智慧家庭-家社联动</t>
  </si>
  <si>
    <t>固网及智慧家庭服务-智慧家庭-村舍联动</t>
  </si>
  <si>
    <t>固网及智慧家庭服务-智慧家庭-其他-收入（大收）</t>
  </si>
  <si>
    <t>固网及智慧家庭服务-智慧家庭-其他-CP/SP结算支出</t>
  </si>
  <si>
    <t>固网及智慧家庭服务-其他固网通信服务-固网通信网络资源服务收入-通信设备共享服务收入-机房及配套资源合作收入</t>
  </si>
  <si>
    <t>固网及智慧家庭服务-其他固网通信服务-固网通信网络资源服务收入-通信设备共享服务收入-传输线路资源合作收入</t>
  </si>
  <si>
    <t>固网及智慧家庭服务-其他固网通信服务-固网通信网络资源服务收入-通信设备共享服务收入-国际海缆资源合作收入</t>
  </si>
  <si>
    <t>固网及智慧家庭服务-其他固网通信服务-固网通信网络资源服务收入-通信设备共享服务收入-云网融合合作收入</t>
  </si>
  <si>
    <t>固网及智慧家庭服务-其他固网通信服务-固网通信网络资源服务收入-通信设备共享服务收入-其他共享合作收入</t>
  </si>
  <si>
    <t>固网及智慧家庭服务-其他固网通信服务-固网通信网络资源服务收入-固网网络能力共享服务收入</t>
  </si>
  <si>
    <t>固网及智慧家庭服务-其他固网通信服务-互联网类信息服务（净收）-收入（大收）</t>
  </si>
  <si>
    <t>固网及智慧家庭服务-其他固网通信服务-互联网类信息服务（净收）-CP/SP结算支出</t>
  </si>
  <si>
    <t>固网及智慧家庭服务-其他固网通信服务-电子商务服务收入</t>
  </si>
  <si>
    <t>固网及智慧家庭服务-其他固网通信服务-广告收入-黄页媒体收入</t>
  </si>
  <si>
    <t>固网及智慧家庭服务-其他固网通信服务-广告收入-电信传媒收入</t>
  </si>
  <si>
    <t>固网及智慧家庭服务-其他固网通信服务-广告收入-天翼高清广告收入</t>
  </si>
  <si>
    <t>固网及智慧家庭服务-其他固网通信服务-广告收入-媒体代理及服务业务</t>
  </si>
  <si>
    <t>固网及智慧家庭服务-其他固网通信服务-广告收入-户外媒体收入</t>
  </si>
  <si>
    <t>固网及智慧家庭服务-其他固网通信服务-广告收入-其他</t>
  </si>
  <si>
    <t>固网及智慧家庭服务-其他固网通信服务-其他-收入（大收）</t>
  </si>
  <si>
    <t>固网及智慧家庭服务-其他固网通信服务-其他-CP/SP结算支出</t>
  </si>
  <si>
    <t>产业数字化-资源型业务-IDC-标品型-基础IDC-主机托管-境内-普通IDC</t>
  </si>
  <si>
    <t>产业数字化-资源型业务-IDC-标品型-基础IDC-主机托管-境内-绿色IDC</t>
  </si>
  <si>
    <t>产业数字化-资源型业务-IDC-标品型-基础IDC-主机托管-境外</t>
  </si>
  <si>
    <t>产业数字化-资源型业务-IDC-标品型-基础IDC-宽带端口-绿色IDC</t>
  </si>
  <si>
    <t>产业数字化-资源型业务-IDC-标品型-基础IDC-机房专线-OTN</t>
  </si>
  <si>
    <t>产业数字化-资源型业务-IDC-标品型-基础IDC-机房专线-SDH/MSTP</t>
  </si>
  <si>
    <t>产业数字化-资源型业务-IDC-标品型-基础IDC-机房专线-其他</t>
  </si>
  <si>
    <t>产业数字化-资源型业务-IDC-标品型-基础IDC-IDC维护服务-IDC代维</t>
  </si>
  <si>
    <t>产业数字化-资源型业务-IDC-标品型-基础IDC-IDC维护服务-其他</t>
  </si>
  <si>
    <t>产业数字化-资源型业务-IDC-标品型-基础IDC-其他</t>
  </si>
  <si>
    <t>产业数字化-资源型业务-IDC-项目型IDC-基础IDC-主机托管-境内-绿色IDC</t>
  </si>
  <si>
    <t>产业数字化-资源型业务-IDC-项目型IDC-基础IDC-主机托管-境外</t>
  </si>
  <si>
    <t>产业数字化-资源型业务-IDC-项目型IDC-基础IDC-宽带端口-普通IDC</t>
  </si>
  <si>
    <t>产业数字化-资源型业务-IDC-项目型IDC-基础IDC-宽带端口-绿色IDC</t>
  </si>
  <si>
    <t>产业数字化-资源型业务-IDC-项目型IDC-基础IDC-机房专线-OTN</t>
  </si>
  <si>
    <t>产业数字化-资源型业务-IDC-项目型IDC-基础IDC-机房专线-SDH/MSTP</t>
  </si>
  <si>
    <t>产业数字化-资源型业务-IDC-项目型IDC-基础IDC-机房专线-其他</t>
  </si>
  <si>
    <t>产业数字化-资源型业务-IDC-项目型IDC-基础IDC-IDC维护服务-IDC代维</t>
  </si>
  <si>
    <t>产业数字化-资源型业务-IDC-项目型IDC-基础IDC-IDC维护服务-其他</t>
  </si>
  <si>
    <t>产业数字化-资源型业务-IDC-项目型IDC-云IDC-主机托管-境内-普通IDC</t>
  </si>
  <si>
    <t>产业数字化-资源型业务-IDC-项目型IDC-云IDC-主机托管-境内-绿色IDC</t>
  </si>
  <si>
    <t>产业数字化-资源型业务-IDC-项目型IDC-云IDC-主机托管-境外</t>
  </si>
  <si>
    <t>产业数字化-资源型业务-IDC-项目型IDC-云IDC-宽带端口-云加速（CDN）专用宽带端口</t>
  </si>
  <si>
    <t>产业数字化-资源型业务-IDC-项目型IDC-云IDC-宽带端口-其他-普通IDC</t>
  </si>
  <si>
    <t>产业数字化-资源型业务-IDC-项目型IDC-云IDC-宽带端口-其他-绿色IDC</t>
  </si>
  <si>
    <t>产业数字化-资源型业务-IDC-项目型IDC-云IDC-机房专线-OTN</t>
  </si>
  <si>
    <t>产业数字化-资源型业务-IDC-项目型IDC-云IDC-机房专线-SDH/MSTP</t>
  </si>
  <si>
    <t>产业数字化-资源型业务-IDC-项目型IDC-云IDC-机房专线-其他</t>
  </si>
  <si>
    <t>产业数字化-资源型业务-IDC-项目型IDC-云IDC-IDC维护服务-IDC代维</t>
  </si>
  <si>
    <t>产业数字化-资源型业务-IDC-项目型IDC-云IDC-IDC维护服务-其他</t>
  </si>
  <si>
    <t>产业数字化-资源型业务-IDC-项目型IDC-云IDC-云IDC集成</t>
  </si>
  <si>
    <t>产业数字化-资源型业务-IDC-项目型IDC-云IDC-其他</t>
  </si>
  <si>
    <t>产业数字化-资源型业务-组网专线-标品型-普通组网专线-普通组网专线-DDN收入</t>
  </si>
  <si>
    <t>产业数字化-资源型业务-组网专线-标品型-普通组网专线-普通组网专线-帧中继ATM收入</t>
  </si>
  <si>
    <t>产业数字化-资源型业务-组网专线-标品型-普通组网专线-普通组网专线-OTN精品专线-国际及港澳台-境外客户</t>
  </si>
  <si>
    <t>产业数字化-资源型业务-组网专线-标品型-普通组网专线-普通组网专线-OTN精品专线-专家服务</t>
  </si>
  <si>
    <t>产业数字化-资源型业务-组网专线-标品型-普通组网专线-普通组网专线-OTN精品专线-量子加密服务</t>
  </si>
  <si>
    <t>产业数字化-资源型业务-组网专线-标品型-普通组网专线-普通组网专线-传输专线（SDH/MSTP/波分/ROADM）-国际及港澳台-境外客户</t>
  </si>
  <si>
    <t>产业数字化-资源型业务-组网专线-标品型-普通组网专线-普通组网专线-以太专线-大陆境内-长途</t>
  </si>
  <si>
    <t>产业数字化-资源型业务-组网专线-标品型-普通组网专线-普通组网专线-以太专线-国际及港澳台-境内客户</t>
  </si>
  <si>
    <t>产业数字化-资源型业务-组网专线-标品型-普通组网专线-普通组网专线-以太专线-国际及港澳台-境外客户</t>
  </si>
  <si>
    <t>产业数字化-资源型业务-组网专线-标品型-普通组网专线-普通组网专线-IP虚拟专网-国际及港澳台-境内客户</t>
  </si>
  <si>
    <t>产业数字化-资源型业务-组网专线-标品型-普通组网专线-普通组网专线-IP虚拟专网-国际及港澳台-境外客户</t>
  </si>
  <si>
    <t>产业数字化-资源型业务-组网专线-标品型-普通组网专线-普通组网专线-IP-VPDN</t>
  </si>
  <si>
    <t>产业数字化-资源型业务-组网专线-标品型-普通组网专线-普通组网专线-国际及港澳台网元业务</t>
  </si>
  <si>
    <t>产业数字化-资源型业务-组网专线-项目型组网专线-普通组网专线-DDN收入</t>
  </si>
  <si>
    <t>产业数字化-资源型业务-组网专线-项目型组网专线-普通组网专线-帧中继ATM收入</t>
  </si>
  <si>
    <t>产业数字化-资源型业务-组网专线-项目型组网专线-普通组网专线-OTN精品专线-大陆境内-本地</t>
  </si>
  <si>
    <t>产业数字化-资源型业务-组网专线-项目型组网专线-普通组网专线-OTN精品专线-大陆境内-长途</t>
  </si>
  <si>
    <t>产业数字化-资源型业务-组网专线-项目型组网专线-普通组网专线-OTN精品专线-国际及港澳台-境内客户</t>
  </si>
  <si>
    <t>产业数字化-资源型业务-组网专线-项目型组网专线-普通组网专线-OTN精品专线-国际及港澳台-境外客户</t>
  </si>
  <si>
    <t>产业数字化-资源型业务-组网专线-项目型组网专线-普通组网专线-传输专线（SDH/MSTP/波分/ROADM）-大陆境内-本地</t>
  </si>
  <si>
    <t>产业数字化-资源型业务-组网专线-项目型组网专线-普通组网专线-传输专线（SDH/MSTP/波分/ROADM）-大陆境内-长途</t>
  </si>
  <si>
    <t>产业数字化-资源型业务-组网专线-项目型组网专线-普通组网专线-传输专线（SDH/MSTP/波分/ROADM）-国际及港澳台-境内客户</t>
  </si>
  <si>
    <t>产业数字化-资源型业务-组网专线-项目型组网专线-普通组网专线-传输专线（SDH/MSTP/波分/ROADM）-国际及港澳台-境外客户</t>
  </si>
  <si>
    <t>产业数字化-资源型业务-组网专线-项目型组网专线-普通组网专线-以太专线-大陆境内-本地</t>
  </si>
  <si>
    <t>产业数字化-资源型业务-组网专线-项目型组网专线-普通组网专线-以太专线-大陆境内-长途</t>
  </si>
  <si>
    <t>产业数字化-资源型业务-组网专线-项目型组网专线-普通组网专线-以太专线-国际及港澳台-境内客户</t>
  </si>
  <si>
    <t>产业数字化-资源型业务-组网专线-项目型组网专线-普通组网专线-以太专线-国际及港澳台-境外客户</t>
  </si>
  <si>
    <t>产业数字化-资源型业务-组网专线-项目型组网专线-普通组网专线-IP虚拟专网-大陆境内</t>
  </si>
  <si>
    <t>产业数字化-资源型业务-组网专线-项目型组网专线-普通组网专线-IP虚拟专网-国际及港澳台-境内客户</t>
  </si>
  <si>
    <t>产业数字化-资源型业务-组网专线-项目型组网专线-普通组网专线-IP虚拟专网-国际及港澳台-境外客户</t>
  </si>
  <si>
    <t>产业数字化-资源型业务-组网专线-项目型组网专线-普通组网专线-IP-VPDN</t>
  </si>
  <si>
    <t>产业数字化-资源型业务-组网专线-项目型组网专线-普通组网专线-国际及港澳台网元业务</t>
  </si>
  <si>
    <t>6%/9%</t>
  </si>
  <si>
    <t>产业数字化-资源型业务-组网专线-项目型组网专线-普通组网专线-其他</t>
  </si>
  <si>
    <t>产业数字化-资源型业务-组网专线-项目型组网专线-云组网专线-资源池间专线</t>
  </si>
  <si>
    <t>产业数字化-资源型业务-组网专线-项目型组网专线-云组网专线-资源池接入专线-OTN专线</t>
  </si>
  <si>
    <t>产业数字化-资源型业务-组网专线-项目型组网专线-云组网专线-资源池接入专线-传输专线（SDH/MSTP/波分/ROADM)</t>
  </si>
  <si>
    <t>产业数字化-资源型业务-组网专线-项目型组网专线-云组网专线组网专线-资源池接入专线-IP虚拟专网</t>
  </si>
  <si>
    <t>产业数字化-资源型业务-组网专线-项目型组网专线-云组网专线-资源池接入专线-其他</t>
  </si>
  <si>
    <t>产业数字化-资源型业务-物联网-标品型物联网-连接服务-流量-非定向流量</t>
  </si>
  <si>
    <t>产业数字化-资源型业务-物联网-标品型物联网-连接服务-流量-省间漫游结算</t>
  </si>
  <si>
    <t>产业数字化-资源型业务-物联网-标品型物联网-连接服务-流量-低空卡流量</t>
  </si>
  <si>
    <t>产业数字化-资源型业务-物联网-标品型物联网-应用服务-行业应用-政务应用</t>
  </si>
  <si>
    <t>产业数字化-资源型业务-物联网-标品型物联网-应用服务-行业应用-应急应用</t>
  </si>
  <si>
    <t>产业数字化-资源型业务-物联网-标品型物联网-应用服务-行业应用-工业应用</t>
  </si>
  <si>
    <t>产业数字化-资源型业务-物联网-标品型物联网-套件服务</t>
  </si>
  <si>
    <t>产业数字化-资源型业务-物联网-项目型物联网-应用服务-平台应用</t>
  </si>
  <si>
    <t>产业数字化-资源型业务-物联网-项目型物联网-应用服务-行业应用-政务应用</t>
  </si>
  <si>
    <t>产业数字化-资源型业务-物联网-项目型物联网-应用服务-行业应用-应急应用</t>
  </si>
  <si>
    <t>产业数字化-资源型业务-物联网-项目型物联网-应用服务-行业应用-工业应用</t>
  </si>
  <si>
    <t>产业数字化-资源型业务-物联网-项目型物联网-应用服务-行业应用-能源应用</t>
  </si>
  <si>
    <t>产业数字化-资源型业务-物联网-项目型物联网-应用服务-行业应用-其他</t>
  </si>
  <si>
    <t>产业数字化-资源型业务-5G定制网-标品型5G定制网-5G切片</t>
  </si>
  <si>
    <t>产业数字化-资源型业务-5G定制网-标品型5G定制网-5G商企专网</t>
  </si>
  <si>
    <t>产业数字化-资源型业务-5G定制网-标品型5G定制网-双域快网</t>
  </si>
  <si>
    <t>产业数字化-资源型业务-5G定制网-项目型5G定制网-平台定制</t>
  </si>
  <si>
    <t>产业数字化-ICT业务-行业云产品-标品销售公有云产品-IaaS-计算服务-超算云主机</t>
  </si>
  <si>
    <t>产业数字化-ICT业务-行业云产品-标品销售公有云产品-IaaS-计算服务-云电脑（政企版）-通用云电脑（政企版）</t>
  </si>
  <si>
    <t>产业数字化-ICT业务-行业云产品-标品销售公有云产品-IaaS-计算服务-专属云-自研</t>
  </si>
  <si>
    <t>产业数字化-ICT业务-行业云产品-标品销售公有云产品-IaaS-计算服务-其他-自研</t>
  </si>
  <si>
    <t>产业数字化-ICT业务-行业云产品-标品销售公有云产品-IaaS-计算服务-其他-合营</t>
  </si>
  <si>
    <t>产业数字化-ICT业务-行业云产品-标品销售公有云产品-IaaS-存储服务-对象存储-自研</t>
  </si>
  <si>
    <t>产业数字化-ICT业务-行业云产品-标品销售公有云产品-IaaS-存储服务-其他-自研</t>
  </si>
  <si>
    <t>产业数字化-ICT业务-行业云产品-标品销售公有云产品-IaaS-云网服务-其他-自研</t>
  </si>
  <si>
    <t>产业数字化-ICT业务-行业云产品-标品销售公有云产品-IaaS-云网服务-其他-合营</t>
  </si>
  <si>
    <t>产业数字化-ICT业务-行业云产品-标品销售公有云产品-PaaS-容器及中间件-自研</t>
  </si>
  <si>
    <t>产业数字化-ICT业务-行业云产品-标品销售公有云产品-PaaS-容器及中间件-合营</t>
  </si>
  <si>
    <t>产业数字化-ICT业务-行业云产品-标品销售公有云产品-PaaS-天翼云大数据服务-自研</t>
  </si>
  <si>
    <t>产业数字化-ICT业务-行业云产品-标品销售公有云产品-PaaS-天翼云大数据服务-合营</t>
  </si>
  <si>
    <t>产业数字化-ICT业务-行业云产品-标品销售公有云产品-PaaS-天翼云AI平台服务</t>
  </si>
  <si>
    <t>产业数字化-ICT业务-行业云产品-标品销售公有云产品-PaaS-其他-合营</t>
  </si>
  <si>
    <t>产业数字化-ICT业务-行业云产品-标品销售公有云产品-SaaS-天翼云安全-自研</t>
  </si>
  <si>
    <t>产业数字化-ICT业务-行业云产品-标品销售公有云产品-SaaS-天翼云安全-合营</t>
  </si>
  <si>
    <t>产业数字化-ICT业务-行业云产品-标品销售公有云产品-SaaS-甄选商城-收入（大收）</t>
  </si>
  <si>
    <t>产业数字化-ICT业务-行业云产品-标品销售公有云产品-SaaS-甄选商城-CP/SP结算支出</t>
  </si>
  <si>
    <t>产业数字化-ICT业务-行业云产品-标品销售公有云产品-SaaS-天翼云AI行业应用</t>
  </si>
  <si>
    <t>产业数字化-ICT业务-行业云产品-标品销售公有云产品-SaaS-其他-自研</t>
  </si>
  <si>
    <t>产业数字化-ICT业务-行业云产品-标品销售公有云产品-SaaS-其他-合营</t>
  </si>
  <si>
    <t>产业数字化-ICT业务-行业云产品-标品销售公有云产品-边缘云-合营</t>
  </si>
  <si>
    <t>产业数字化-ICT业务-行业云产品-项目中公有云产品-IaaS-计算服务-通用云主机</t>
  </si>
  <si>
    <t>产业数字化-ICT业务-行业云产品-项目中公有云产品-IaaS-计算服务-超算云主机</t>
  </si>
  <si>
    <t>产业数字化-ICT业务-行业云产品-项目中公有云产品-IaaS-计算服务-合营云主机</t>
  </si>
  <si>
    <t>产业数字化-ICT业务-行业云产品-项目中公有云产品-IaaS-计算服务-云电脑（政企版）-天翼AI云电脑（政企版）</t>
  </si>
  <si>
    <t>产业数字化-ICT业务-行业云产品-项目中公有云产品-IaaS-计算服务-云电脑（政企版）-通用云电脑（政企版）</t>
  </si>
  <si>
    <t>产业数字化-ICT业务-行业云产品-项目中公有云产品-IaaS-计算服务-专属云-自研</t>
  </si>
  <si>
    <t>产业数字化-ICT业务-行业云产品-项目中公有云产品-IaaS-计算服务-专属云-合营</t>
  </si>
  <si>
    <t>产业数字化-ICT业务-行业云产品-项目中公有云产品-IaaS-计算服务-其他-自研</t>
  </si>
  <si>
    <t>产业数字化-ICT业务-行业云产品-项目中公有云产品-IaaS-计算服务-其他-合营</t>
  </si>
  <si>
    <t>产业数字化-ICT业务-行业云产品-项目中公有云产品-IaaS-存储服务-对象存储-自研</t>
  </si>
  <si>
    <t>产业数字化-ICT业务-行业云产品-项目中公有云产品-IaaS-存储服务-对象存储-合营</t>
  </si>
  <si>
    <t>产业数字化-ICT业务-行业云产品-项目中公有云产品-IaaS-存储服务-其他-自研</t>
  </si>
  <si>
    <t>产业数字化-ICT业务-行业云产品-项目中公有云产品-IaaS-存储服务-其他-合营</t>
  </si>
  <si>
    <t>产业数字化-ICT业务-行业云产品-项目中公有云产品-IaaS-云网服务-云间高速</t>
  </si>
  <si>
    <t>产业数字化-ICT业务-行业云产品-项目中公有云产品-IaaS-云网服务-其他-合营</t>
  </si>
  <si>
    <t>产业数字化-ICT业务-行业云产品-项目中公有云产品-PaaS-息壤算网一体服务平台</t>
  </si>
  <si>
    <t>产业数字化-ICT业务-行业云产品-项目中公有云产品-PaaS-云数据库-自研</t>
  </si>
  <si>
    <t>产业数字化-ICT业务-行业云产品-项目中公有云产品-PaaS-云数据库-合营</t>
  </si>
  <si>
    <t>产业数字化-ICT业务-行业云产品-项目中公有云产品-PaaS-容器及中间件-自研</t>
  </si>
  <si>
    <t>产业数字化-ICT业务-行业云产品-项目中公有云产品-PaaS-容器及中间件-合营</t>
  </si>
  <si>
    <t>产业数字化-ICT业务-行业云产品-项目中公有云产品-PaaS-天翼云大数据服务-自研</t>
  </si>
  <si>
    <t>产业数字化-ICT业务-行业云产品-项目中公有云产品-PaaS-天翼云大数据服务-合营</t>
  </si>
  <si>
    <t>产业数字化-ICT业务-行业云产品-项目中公有云产品-PaaS-天翼云AI平台服务</t>
  </si>
  <si>
    <t>产业数字化-ICT业务-行业云产品-项目中公有云产品-PaaS-其他-自研</t>
  </si>
  <si>
    <t>产业数字化-ICT业务-行业云产品-项目中公有云产品-PaaS-其他-合营</t>
  </si>
  <si>
    <t>产业数字化-ICT业务-行业云产品-项目中公有云产品-SaaS-天翼云安全-自研</t>
  </si>
  <si>
    <t>产业数字化-ICT业务-行业云产品-项目中公有云产品-SaaS-天翼云安全-合营</t>
  </si>
  <si>
    <t>产业数字化-ICT业务-行业云产品-项目中公有云产品-SaaS-天翼云盘（企业版）</t>
  </si>
  <si>
    <t>产业数字化-ICT业务-行业云产品-项目中公有云产品-SaaS-甄选商城-收入（大收）</t>
  </si>
  <si>
    <t>产业数字化-ICT业务-行业云产品-项目中公有云产品-SaaS-甄选商城-CP/SP结算支出</t>
  </si>
  <si>
    <t>产业数字化-ICT业务-行业云产品-项目中公有云产品-SaaS-天翼云AI行业应用</t>
  </si>
  <si>
    <t>产业数字化-ICT业务-行业云产品-项目中公有云产品-SaaS-其他-自研</t>
  </si>
  <si>
    <t>产业数字化-ICT业务-行业云产品-项目中公有云产品-SaaS-其他-合营</t>
  </si>
  <si>
    <t>产业数字化-ICT业务-行业云产品-项目中公有云产品-云加速（CDN）</t>
  </si>
  <si>
    <t>产业数字化-ICT业务-行业云产品-项目中公有云产品-边缘云-自研</t>
  </si>
  <si>
    <t>产业数字化-ICT业务-行业云产品-项目中公有云产品-边缘云-合营</t>
  </si>
  <si>
    <t>产业数字化-ICT业务-行业云产品-私有云产品-一体机服务-智算私有一体机服务</t>
  </si>
  <si>
    <t>产业数字化-ICT业务-行业云产品-私有云产品-私有云电脑服务</t>
  </si>
  <si>
    <t>产业数字化-ICT业务-行业云产品-私有云产品-其他</t>
  </si>
  <si>
    <t>产业数字化-ICT业务-行业云产品-云生态发展收入（被集成）</t>
  </si>
  <si>
    <t>产业数字化-ICT业务-行业大数据服务-数据平台和数据治理-数据智能中台</t>
  </si>
  <si>
    <t>产业数字化-ICT业务-行业大数据服务-数据平台和数据治理-数据要素服务平台</t>
  </si>
  <si>
    <t>产业数字化-ICT业务-行业大数据服务-数据平台和数据治理-数据分析平台</t>
  </si>
  <si>
    <t>产业数字化-ICT业务-行业大数据服务-数据平台和数据治理-数据安全与运营</t>
  </si>
  <si>
    <t>产业数字化-ICT业务-行业大数据服务-数据平台和数据治理-数据集平台及服务</t>
  </si>
  <si>
    <t>产业数字化-ICT业务-行业大数据服务-标准数据产品-风控大数据-风控核验</t>
  </si>
  <si>
    <t>产业数字化-ICT业务-行业大数据服务-标准数据产品-风控大数据-反诈与风险监测</t>
  </si>
  <si>
    <t>产业数字化-ICT业务-行业大数据服务-标准数据产品-风控大数据-其他风控大数据</t>
  </si>
  <si>
    <t>产业数字化-ICT业务-行业大数据服务-标准数据产品-触达大数据-精准触达</t>
  </si>
  <si>
    <t>产业数字化-ICT业务-行业大数据服务-标准数据产品-触达大数据-其他</t>
  </si>
  <si>
    <t>产业数字化-ICT业务-行业大数据服务-标准数据产品-洞察大数据-产业分析与洞察</t>
  </si>
  <si>
    <t>产业数字化-ICT业务-行业大数据服务-标准数据产品-洞察大数据-舆情大数据</t>
  </si>
  <si>
    <t>产业数字化-ICT业务-行业大数据服务-标准数据产品-洞察大数据-其他</t>
  </si>
  <si>
    <t>产业数字化-ICT业务-行业大数据服务-标准数据产品-公众大数据</t>
  </si>
  <si>
    <t>产业数字化-ICT业务-行业大数据服务-标准数据产品-其他</t>
  </si>
  <si>
    <t>产业数字化-ICT业务-行业大数据服务-行业数据应用-政务大数据</t>
  </si>
  <si>
    <t>产业数字化-ICT业务-行业大数据服务-行业数据应用-卫健大数据</t>
  </si>
  <si>
    <t>产业数字化-ICT业务-行业大数据服务-行业数据应用-应急大数据</t>
  </si>
  <si>
    <t>产业数字化-ICT业务-行业大数据服务-行业数据应用-政法公安大数据</t>
  </si>
  <si>
    <t>产业数字化-ICT业务-行业大数据服务-行业数据应用-农业大数据</t>
  </si>
  <si>
    <t>产业数字化-ICT业务-行业大数据服务-行业数据应用-住建大数据</t>
  </si>
  <si>
    <t>产业数字化-ICT业务-行业大数据服务-行业数据应用-文宣大数据</t>
  </si>
  <si>
    <t>产业数字化-ICT业务-行业大数据服务-行业数据应用-工业大数据</t>
  </si>
  <si>
    <t>产业数字化-ICT业务-行业大数据服务-行业数据应用-交通大数据</t>
  </si>
  <si>
    <t>产业数字化-ICT业务-行业大数据服务-行业数据应用-教育大数据</t>
  </si>
  <si>
    <t>产业数字化-ICT业务-行业大数据服务-行业数据应用-要客大数据</t>
  </si>
  <si>
    <t>产业数字化-ICT业务-行业大数据服务-行业数据应用-金融大数据</t>
  </si>
  <si>
    <t>产业数字化-ICT业务-行业大数据服务-行业数据应用-互联网大数据</t>
  </si>
  <si>
    <t>产业数字化-ICT业务-行业大数据服务-行业数据应用-能源大数据</t>
  </si>
  <si>
    <t>产业数字化-ICT业务-行业大数据服务-行业数据应用-其他</t>
  </si>
  <si>
    <t>产业数字化-ICT业务-行业大数据服务-其他</t>
  </si>
  <si>
    <t>产业数字化-ICT业务-行业AI产品-星辰大模型服务-星辰智能体平台</t>
  </si>
  <si>
    <t>产业数字化-ICT业务-行业AI产品-星辰大模型服务-星辰智能体应用</t>
  </si>
  <si>
    <t>产业数字化-ICT业务-行业AI产品-星辰大模型服务-全栈式AI中台</t>
  </si>
  <si>
    <t>产业数字化-ICT业务-行业AI产品-星辰大模型服务-AI算法服务</t>
  </si>
  <si>
    <t>产业数字化-ICT业务-行业AI产品-星辰大模型服务-基础大模型应用</t>
  </si>
  <si>
    <t>产业数字化-ICT业务-行业AI产品-星辰大模型服务-行业大模型及智能体-政务大模型及智能体</t>
  </si>
  <si>
    <t>产业数字化-ICT业务-行业AI产品-星辰大模型服务-行业大模型及智能体-卫健大模型及智能体</t>
  </si>
  <si>
    <t>产业数字化-ICT业务-行业AI产品-星辰大模型服务-行业大模型及智能体-应急大模型及智能体</t>
  </si>
  <si>
    <t>产业数字化-ICT业务-行业AI产品-星辰大模型服务-行业大模型及智能体-政法公安大模型及智能体</t>
  </si>
  <si>
    <t>产业数字化-ICT业务-行业AI产品-星辰大模型服务-行业大模型及智能体-农业大模型及智能体</t>
  </si>
  <si>
    <t>产业数字化-ICT业务-行业AI产品-星辰大模型服务-行业大模型及智能体-住建大模型及智能体</t>
  </si>
  <si>
    <t>产业数字化-ICT业务-行业AI产品-星辰大模型服务-行业大模型及智能体-文宣大模型及智能体</t>
  </si>
  <si>
    <t>产业数字化-ICT业务-行业AI产品-星辰大模型服务-行业大模型及智能体-工业大模型及智能体</t>
  </si>
  <si>
    <t>产业数字化-ICT业务-行业AI产品-星辰大模型服务-行业大模型及智能体-交通大模型及智能体</t>
  </si>
  <si>
    <t>产业数字化-ICT业务-行业AI产品-星辰大模型服务-行业大模型及智能体-教育大模型及智能体</t>
  </si>
  <si>
    <t>产业数字化-ICT业务-行业AI产品-星辰大模型服务-行业大模型及智能体-要客大模型及智能体</t>
  </si>
  <si>
    <t>产业数字化-ICT业务-行业AI产品-星辰大模型服务-行业大模型及智能体-金融大模型及智能体</t>
  </si>
  <si>
    <t>产业数字化-ICT业务-行业AI产品-星辰大模型服务-行业大模型及智能体-互联网大模型及智能体</t>
  </si>
  <si>
    <t>产业数字化-ICT业务-行业AI产品-星辰大模型服务-行业大模型及智能体-车企大模型及智能体</t>
  </si>
  <si>
    <t>产业数字化-ICT业务-行业AI产品-星辰大模型服务-行业大模型及智能体-能源大模型及智能体</t>
  </si>
  <si>
    <t>产业数字化-ICT业务-行业AI产品-星辰大模型服务-其他</t>
  </si>
  <si>
    <t>产业数字化-ICT业务-行业AI产品-星辰大模型服务-通用行业AI产品</t>
  </si>
  <si>
    <t>产业数字化-ICT业务-行业AI产品-其他</t>
  </si>
  <si>
    <t>产业数字化-ICT业务-行业安全产品-云堤服务-DDoS攻击防护-IDC安全服务</t>
  </si>
  <si>
    <t>产业数字化-ICT业务-行业安全产品-云堤服务-安全大脑-组网专线安全大脑</t>
  </si>
  <si>
    <t>产业数字化-ICT业务-行业安全产品-云堤服务-安全猫</t>
  </si>
  <si>
    <t>产业数字化-ICT业务-行业安全产品-云堤服务-可信通信</t>
  </si>
  <si>
    <t>产业数字化-ICT业务-行业安全产品-云堤服务-密评助手</t>
  </si>
  <si>
    <t>产业数字化-ICT业务-行业安全产品-云堤服务-数盾</t>
  </si>
  <si>
    <t>产业数字化-ICT业务-行业安全产品-云堤服务-云脉SASE</t>
  </si>
  <si>
    <t>产业数字化-ICT业务-行业安全产品-云堤服务-云剑安服</t>
  </si>
  <si>
    <t>产业数字化-ICT业务-行业安全产品-云堤服务-DCI及安全服务</t>
  </si>
  <si>
    <t>产业数字化-ICT业务-行业安全产品-云堤服务-云镜</t>
  </si>
  <si>
    <t>产业数字化-ICT业务-行业安全产品-云堤服务-安全ip</t>
  </si>
  <si>
    <t>产业数字化-ICT业务-行业量子产品-量子密信</t>
  </si>
  <si>
    <t>产业数字化-ICT业务-行业量子产品-量子加密应用</t>
  </si>
  <si>
    <t>产业数字化-ICT业务-行业量子产品-量子安全组网</t>
  </si>
  <si>
    <t>产业数字化-ICT业务-行业视联网业务-天翼视联（行业标准版）-调测费</t>
  </si>
  <si>
    <t>产业数字化-ICT业务-行业视联网业务-天翼视联（行业标准版）-平台服务收入-基础功能服务收入</t>
  </si>
  <si>
    <t>产业数字化-ICT业务-行业视联网业务-天翼视联（行业标准版）-平台服务收入-视频汇聚服务收入</t>
  </si>
  <si>
    <t>产业数字化-ICT业务-行业视联网业务-天翼视联（行业标准版）-平台服务收入-第三方平台对接收入</t>
  </si>
  <si>
    <t>产业数字化-ICT业务-行业视联网业务-天翼视联（行业标准版）-平台服务收入-其他平台服务收入</t>
  </si>
  <si>
    <t>产业数字化-ICT业务-行业视联网业务-天翼视联（行业标准版）-云回看服务收入-一次性礼包云回看服务收入</t>
  </si>
  <si>
    <t>产业数字化-ICT业务-行业视联网业务-天翼视联（行业标准版）-云回看服务收入-月付型礼包云回看服务收入</t>
  </si>
  <si>
    <t>产业数字化-ICT业务-行业视联网业务-天翼视联（行业标准版）-AI行业单品收入</t>
  </si>
  <si>
    <t>产业数字化-ICT业务-行业视联网业务-天翼视联（行业标准版）-AI行业应用收入-平安慧眼（标准版）</t>
  </si>
  <si>
    <t>产业数字化-ICT业务-行业视联网业务-天翼视联（行业标准版）-AI行业应用收入-明厨亮灶</t>
  </si>
  <si>
    <t>产业数字化-ICT业务-行业视联网业务-天翼视联（行业标准版）-AI行业应用收入-天翼应急</t>
  </si>
  <si>
    <t>产业数字化-ICT业务-行业视联网业务-天翼视联（行业标准版）-AI行业应用收入-智慧商企</t>
  </si>
  <si>
    <t>产业数字化-ICT业务-行业视联网业务-天翼视联（行业标准版）-AI行业应用收入-平安校园</t>
  </si>
  <si>
    <t>产业数字化-ICT业务-行业视联网业务-天翼视联（行业标准版）-AI行业应用收入-智慧工地</t>
  </si>
  <si>
    <t>产业数字化-ICT业务-行业视联网业务-天翼视联（行业标准版）-AI行业应用收入-其他AI行业应用</t>
  </si>
  <si>
    <t>产业数字化-ICT业务-行业视联网业务-天翼视联（行业标准版）-视联网专线（天翼视联宽带）</t>
  </si>
  <si>
    <t>产业数字化-ICT业务-行业视联网业务-天翼视联（行业标准版）-其他</t>
  </si>
  <si>
    <t>产业数字化-ICT业务-行业视联网业务-天翼视联（行业定制版）-平台服务收入</t>
  </si>
  <si>
    <t>产业数字化-ICT业务-行业视联网业务-天翼视联（行业定制版）-AI行业应用收入-平安慧眼（行业版）</t>
  </si>
  <si>
    <t>产业数字化-ICT业务-行业视联网业务-天翼视联（行业定制版）-AI行业应用收入-智慧监管（定制版）</t>
  </si>
  <si>
    <t>产业数字化-ICT业务-行业视联网业务-天翼视联（行业定制版）-AI行业应用收入-智慧应急（定制版）</t>
  </si>
  <si>
    <t>产业数字化-ICT业务-行业视联网业务-天翼视联（行业定制版）-AI行业应用收入-其他AI行业应用</t>
  </si>
  <si>
    <t>产业数字化-ICT业务-行业平台及应用-通用信息化标品-翼名片-来电名片（政企版）-移动</t>
  </si>
  <si>
    <t>产业数字化-ICT业务-行业平台及应用-通用信息化标品-翼名片-来电名片（政企版）-固网</t>
  </si>
  <si>
    <t>产业数字化-ICT业务-行业平台及应用-通用信息化标品-翼名片-挂机名片-移动</t>
  </si>
  <si>
    <t>产业数字化-ICT业务-行业平台及应用-通用信息化标品-翼名片-挂机名片-固网</t>
  </si>
  <si>
    <t>产业数字化-ICT业务-行业平台及应用-通用信息化标品-智能语音云-其他</t>
  </si>
  <si>
    <t>产业数字化-ICT业务-行业平台及应用-通用信息化标品-翼机通+</t>
  </si>
  <si>
    <t>产业数字化-ICT业务-行业平台及应用-通用信息化标品-无线VPDN</t>
  </si>
  <si>
    <t>产业数字化-ICT业务-行业平台及应用-通用信息化标品-翼智播</t>
  </si>
  <si>
    <t>产业数字化-ICT业务-行业平台及应用-通用信息化标品-卫星应用平台</t>
  </si>
  <si>
    <t>产业数字化-ICT业务-行业平台及应用-通用信息化标品-云翼信平台</t>
  </si>
  <si>
    <t>产业数字化-ICT业务-行业平台及应用-通用信息化标品-云管平台</t>
  </si>
  <si>
    <t>产业数字化-ICT业务-行业平台及应用-行业信息化标品-燃气卫士</t>
  </si>
  <si>
    <t>产业数字化-ICT业务-行业平台及应用-行业信息化标品-数字酒店</t>
  </si>
  <si>
    <t>产业数字化-ICT业务-行业平台及应用-行业信息化标品-天翼智学</t>
  </si>
  <si>
    <t>产业数字化-ICT业务-行业平台及应用-行业信息化标品-医疗影像云</t>
  </si>
  <si>
    <t>产业数字化-ICT业务-行业平台及应用-行业信息化标品-应急通信服务收入</t>
  </si>
  <si>
    <t>产业数字化-ICT业务-行业平台及应用-行业信息化标品-慧推广</t>
  </si>
  <si>
    <t>产业数字化-ICT业务-行业平台及应用-行业信息化标品-全屋智能（行业定制版）</t>
  </si>
  <si>
    <t>产业数字化-ICT业务-行业平台及应用-行业信息化标品-天翼云图</t>
  </si>
  <si>
    <t>产业数字化-ICT业务-行业平台及应用-软件开发及服务-内部原子能力收入</t>
  </si>
  <si>
    <t>产业数字化-ICT业务-行业平台及应用-软件开发及服务-其他-固网</t>
  </si>
  <si>
    <t>产业数字化-ICT业务-行业平台及应用-软件开发及服务-其他-移动</t>
  </si>
  <si>
    <t>产业数字化-ICT业务-标准ICT业务-智能组网（商企版）</t>
  </si>
  <si>
    <t>产业数字化-ICT业务-标准ICT业务-企业全光组网（FTTR-B）-增强网关服务</t>
  </si>
  <si>
    <t>产业数字化-ICT业务-标准ICT业务-战新插件及容器-AI插件及容器</t>
  </si>
  <si>
    <t>产业数字化-ICT业务-标准ICT业务-战新插件及容器-其他插件及容器</t>
  </si>
  <si>
    <t>产业数字化-ICT业务-标准ICT业务-生态应用</t>
  </si>
  <si>
    <t>6%/9%/13%</t>
  </si>
  <si>
    <t>产业数字化-ICT业务-行业低空服务</t>
  </si>
  <si>
    <t>产业数字化-ICT业务-集成-集成服务-云集成-公有云集成</t>
  </si>
  <si>
    <t>产业数字化-ICT业务-集成-集成服务-云集成-私有云集成-固网</t>
  </si>
  <si>
    <t>产业数字化-ICT业务-集成-集成服务-大数据集成</t>
  </si>
  <si>
    <t>产业数字化-ICT业务-集成-集成服务-AI集成</t>
  </si>
  <si>
    <t>产业数字化-ICT业务-集成-集成服务-安全集成-云堤集成</t>
  </si>
  <si>
    <t>产业数字化-ICT业务-集成-集成服务-安全集成-安全测评</t>
  </si>
  <si>
    <t>产业数字化-ICT业务-集成-天翼智维-重要通信保障服务</t>
  </si>
  <si>
    <t>产业数字化-互联网金融-互联网金融支付业务</t>
  </si>
  <si>
    <t>产业数字化-互联网金融-金融借贷</t>
  </si>
  <si>
    <t>其他-固网其他-实物商品销售-宽带终端-自研</t>
  </si>
  <si>
    <t>其他-固网其他-实物商品销售-宽带终端-其他</t>
  </si>
  <si>
    <t>其他-固网其他-实物商品销售-天翼高清终端-自研</t>
  </si>
  <si>
    <t>其他-固网其他-实物商品销售-天翼高清终端-其他</t>
  </si>
  <si>
    <t>其他-固网其他-实物商品销售-智慧家庭设备-自研</t>
  </si>
  <si>
    <t>其他-固网其他-实物商品销售-智慧家庭设备-其他</t>
  </si>
  <si>
    <t>其他-固网其他-实物商品销售-视联网设备-自研</t>
  </si>
  <si>
    <t>其他-固网其他-实物商品销售-视联网设备-其他</t>
  </si>
  <si>
    <t>其他-固网其他-实物商品销售-大数据和AI设备-自研</t>
  </si>
  <si>
    <t>其他-固网其他-实物商品销售-大数据和AI设备-其他</t>
  </si>
  <si>
    <t>其他-固网其他-实物商品销售-网信安全设备-自研</t>
  </si>
  <si>
    <t>其他-固网其他-实物商品销售-网信安全设备-其他</t>
  </si>
  <si>
    <t>其他-固网其他-实物商品销售-量子设备-自研</t>
  </si>
  <si>
    <t>其他-固网其他-实物商品销售-量子设备-其他</t>
  </si>
  <si>
    <t>其他-固网其他-实物商品销售-系统集成-自研</t>
  </si>
  <si>
    <t>其他-固网其他-实物商品销售-其他-自研</t>
  </si>
  <si>
    <t>其他-固网其他-实物商品销售-其他-其他</t>
  </si>
  <si>
    <t>其他-固网其他-虚拟商品销售</t>
  </si>
  <si>
    <t>其他-固网其他-积分兑换</t>
  </si>
  <si>
    <t>其他-固网其他-集中服务收入-人工服务</t>
  </si>
  <si>
    <t>其他-固网其他-集中服务收入-房屋土地</t>
  </si>
  <si>
    <t>13%，3%</t>
  </si>
  <si>
    <t>其他-固网其他-集中服务收入-设备资产</t>
  </si>
  <si>
    <t>其他-固网其他-集中服务收入-其他</t>
  </si>
  <si>
    <t>其他-固网其他-融资出租设备收入</t>
  </si>
  <si>
    <t>其他-固网其他-出让外购软件使用权收入</t>
  </si>
  <si>
    <t>其他-固网其他-销售材料收入</t>
  </si>
  <si>
    <t>其他-移动其他-商品销售-手机终端-自研</t>
  </si>
  <si>
    <t>其他-移动其他-商品销售-手机终端-其他</t>
  </si>
  <si>
    <t>其他-移动其他-商品销售-量子终端-自研</t>
  </si>
  <si>
    <t>其他-移动其他-商品销售-量子终端-其他</t>
  </si>
  <si>
    <t>其他-移动其他-商品销售-物联网终端设备-自研</t>
  </si>
  <si>
    <t>其他-移动其他-商品销售-物联网终端设备-其他</t>
  </si>
  <si>
    <t>其他-移动其他-商品销售-物联网卡-自研</t>
  </si>
  <si>
    <t>其他-移动其他-商品销售-物联网卡-其他</t>
  </si>
  <si>
    <t>其他-移动其他-商品销售-其他-自研</t>
  </si>
  <si>
    <t>其他-移动其他-商品销售-其他-其他</t>
  </si>
  <si>
    <t>其他-移动其他-通信资源出租收入</t>
  </si>
  <si>
    <t>其他-移动其他-代办内部单位业务酬金</t>
  </si>
  <si>
    <t>其他-移动其他-铁塔代持服务收入</t>
  </si>
  <si>
    <t>天翼云省分来自本省股份和本省固网（北方）成本结算收入-产业数字化收入</t>
  </si>
  <si>
    <t>天翼云省分来自本省股份和本省固网（北方）成本结算收入-其他主营业务收入</t>
  </si>
  <si>
    <t>股份和固网（北方）来自本省天翼云省分成本结算收入-产业数字化收入</t>
  </si>
  <si>
    <t>股份和固网（北方）来自本省天翼云省分成本结算收入-其他主营业务收入</t>
  </si>
  <si>
    <t>其他-移动其他-其他</t>
  </si>
  <si>
    <t>指标编码</t>
  </si>
  <si>
    <t>指标名称</t>
  </si>
  <si>
    <t>税目（默认带出）</t>
  </si>
  <si>
    <t>备注</t>
  </si>
  <si>
    <t>利润中心</t>
  </si>
  <si>
    <t>电信业——基础电信服务——语音服务</t>
  </si>
  <si>
    <t>总部部门</t>
  </si>
  <si>
    <t>工程建设中心</t>
  </si>
  <si>
    <t>市场部</t>
  </si>
  <si>
    <t>渠道运营支撑中心（待迁移）</t>
  </si>
  <si>
    <t>云网运营部</t>
  </si>
  <si>
    <t>上海电信信息世界</t>
  </si>
  <si>
    <t>政企事业群</t>
  </si>
  <si>
    <t>上海电信EDI分公司</t>
  </si>
  <si>
    <t>业创中心</t>
  </si>
  <si>
    <t>上海公司融合创新研发基地</t>
  </si>
  <si>
    <t>总部集中控制</t>
  </si>
  <si>
    <t>东区局分公司</t>
  </si>
  <si>
    <t>免税收入</t>
  </si>
  <si>
    <t>关注</t>
  </si>
  <si>
    <t>南区局分公司</t>
  </si>
  <si>
    <t>西区局分公司</t>
  </si>
  <si>
    <t>北区局分公司</t>
  </si>
  <si>
    <t>电信业——增值电信服务——互联网接入服务</t>
  </si>
  <si>
    <t>中区局分公司</t>
  </si>
  <si>
    <t>浦东局分公司</t>
  </si>
  <si>
    <t>宝山局分公司</t>
  </si>
  <si>
    <t>莘闵局分公司</t>
  </si>
  <si>
    <t>嘉定局分公司</t>
  </si>
  <si>
    <t>奉贤局分公司</t>
  </si>
  <si>
    <t>金山局分公司</t>
  </si>
  <si>
    <t>青浦局分公司</t>
  </si>
  <si>
    <t>松江局分公司</t>
  </si>
  <si>
    <t>崇明局分公司</t>
  </si>
  <si>
    <t>移互部/移动网优中心/上海5G共建共享工</t>
  </si>
  <si>
    <t>信网部/互联网大客户部</t>
  </si>
  <si>
    <t>数字生活部/互联网部</t>
  </si>
  <si>
    <t>电信业——增值电信服务——短彩信服务</t>
  </si>
  <si>
    <t>罗泾信息网络中心</t>
  </si>
  <si>
    <t>桃浦信息网络中心</t>
  </si>
  <si>
    <t>数字政务服务中心</t>
  </si>
  <si>
    <t>上海公司智慧家庭运营中心</t>
  </si>
  <si>
    <t>卓青信息网络中心</t>
  </si>
  <si>
    <t>泖南数据服务分部</t>
  </si>
  <si>
    <t>金泽数据服务分部</t>
  </si>
  <si>
    <t>电信业——增值电信服务——电子数据和信息的传输及应用服务</t>
  </si>
  <si>
    <t>机动局</t>
  </si>
  <si>
    <t>业务管理支撑中心</t>
  </si>
  <si>
    <t>信息园区开发建设部/房屋与土地资产运营中</t>
  </si>
  <si>
    <t>上海ICNOC</t>
  </si>
  <si>
    <t>客服中心</t>
  </si>
  <si>
    <t>电渠中心</t>
  </si>
  <si>
    <t>市民热线中心</t>
  </si>
  <si>
    <t>公众客户部/终端公司（待迁移）</t>
  </si>
  <si>
    <t>云中台/数字集成部</t>
  </si>
  <si>
    <t>企业客户服务中心</t>
  </si>
  <si>
    <t>客户经营中心</t>
  </si>
  <si>
    <t>政企客户支撑响应中心/量子能力中心</t>
  </si>
  <si>
    <t>政务大客户部/重大项目管理办公室</t>
  </si>
  <si>
    <t>公共服务大客户部</t>
  </si>
  <si>
    <t>金融大客户部</t>
  </si>
  <si>
    <t>工业和服务业大客户部</t>
  </si>
  <si>
    <t>战略大客户部</t>
  </si>
  <si>
    <t>渠道运营支撑中心</t>
  </si>
  <si>
    <t>公众客户部/天翼终端公司上海分公司</t>
  </si>
  <si>
    <t>网络和信息安全部</t>
  </si>
  <si>
    <t>天翼云能力运营中心/数字政务服务中心</t>
  </si>
  <si>
    <t>公共服务中心</t>
  </si>
  <si>
    <t>科创大客户部</t>
  </si>
  <si>
    <t>中网院电信运营中心</t>
  </si>
  <si>
    <t>海卓项目组</t>
  </si>
  <si>
    <t>智能云网业务运营中心</t>
  </si>
  <si>
    <t>上海研究院</t>
  </si>
  <si>
    <t>视讯基地</t>
  </si>
  <si>
    <t>车联信息化基地</t>
  </si>
  <si>
    <t>集团客服中心</t>
  </si>
  <si>
    <t>自贸区分公司</t>
  </si>
  <si>
    <t>天翼云科技有限公司上海分公司</t>
  </si>
  <si>
    <t>电信业——基础电信服务——语音服务
电信业——增值电信服务——电子数据和信息的传输及应用服务
电信业——增值电信服务——短彩信服务</t>
  </si>
  <si>
    <t>结合业务实质判断并准确选择适用税率</t>
  </si>
  <si>
    <t>现代服务业——广播影视服务</t>
  </si>
  <si>
    <t>现代服务业——信息技术服务——信息系统服务</t>
  </si>
  <si>
    <t>经营租赁——不动产租赁</t>
  </si>
  <si>
    <t>各省按实际确定是否简易征收</t>
  </si>
  <si>
    <t>电信业——基础电信服务——网络元素使用服务</t>
  </si>
  <si>
    <t>电信业——基础电信服务——网络元素使用服务
电信业——增值电信服务——互联网接入服务</t>
  </si>
  <si>
    <t>现代服务业——文化创意服务——广告业务</t>
  </si>
  <si>
    <t>建筑服务-安装服务</t>
  </si>
  <si>
    <t>建筑服务-安装服务
现代服务业——信息技术服务——信息系统服务</t>
  </si>
  <si>
    <t>根据业务实质选择适用税率（安装为9%，调测为6%）</t>
  </si>
  <si>
    <t>电信业——增值电信服务——电子数据和信息的传输及应用服务
销售货物</t>
  </si>
  <si>
    <t>现代服务业——经营租赁——有形动产经营性租赁</t>
  </si>
  <si>
    <t>现代服务业——信息技术服务——信息系统增值服务</t>
  </si>
  <si>
    <t>产业数字化-资源型业务-IDC-标品型-基础IDC-宽带端口-普通IDC</t>
  </si>
  <si>
    <t>产业数字化-资源型业务-IDC-项目型IDC-基础IDC-主机托管-境内-普通IDC</t>
  </si>
  <si>
    <t>产业数字化-资源型业务-IDC-项目型IDC-基础IDC-其他</t>
  </si>
  <si>
    <t>产业数字化-资源型业务-组网专线-标品型-普通组网专线-普通组网专线-OTN精品专线-大陆境内-本地</t>
  </si>
  <si>
    <t>产业数字化-资源型业务-组网专线-标品型-普通组网专线-普通组网专线-OTN精品专线-大陆境内-长途</t>
  </si>
  <si>
    <t>产业数字化-资源型业务-组网专线-标品型-普通组网专线-普通组网专线-OTN精品专线-国际及港澳台-境内客户</t>
  </si>
  <si>
    <t>产业数字化-资源型业务-组网专线-标品型-普通组网专线-普通组网专线-传输专线（SDH/MSTP/波分/ROADM）-大陆境内-本地</t>
  </si>
  <si>
    <t>产业数字化-资源型业务-组网专线-标品型-普通组网专线-普通组网专线-传输专线（SDH/MSTP/波分/ROADM）-大陆境内-长途</t>
  </si>
  <si>
    <t>产业数字化-资源型业务-组网专线-标品型-普通组网专线-普通组网专线-传输专线（SDH/MSTP/波分/ROADM）-国际及港澳台-境内客户</t>
  </si>
  <si>
    <t>产业数字化-资源型业务-组网专线-标品型-普通组网专线-普通组网专线-以太专线-大陆境内-本地</t>
  </si>
  <si>
    <t>产业数字化-资源型业务-组网专线-标品型-普通组网专线-普通组网专线-IP虚拟专网-大陆境内</t>
  </si>
  <si>
    <t>产业数字化-资源型业务-组网专线-标品型-普通组网专线-普通组网专线-其他</t>
  </si>
  <si>
    <t>电信业——基础电信服务——网络元素使用服务
电信业——增值电信服务——电子数据和信息的传输及应用服务</t>
  </si>
  <si>
    <t>根据业务实质是否接入互联网选择适用税率</t>
  </si>
  <si>
    <t>产业数字化-资源型业务-组网专线-项目型组网专线-云组网专线-资源池接入专线-SD-WAN</t>
  </si>
  <si>
    <t>产业数字化-资源型业务-组网专线-项目型组网专线-云组网专线-资源池接入专线-云专网（含FIRST教育/医疗/视频专网等）</t>
  </si>
  <si>
    <t>产业数字化-资源型业务-物联网-标品型物联网-连接服务-语音</t>
  </si>
  <si>
    <t>产业数字化-资源型业务-物联网-标品型物联网-连接服务-流量-定向流量</t>
  </si>
  <si>
    <t>产业数字化-资源型业务-物联网-标品型物联网-连接服务-短信</t>
  </si>
  <si>
    <t>产业数字化-资源型业务-物联网-标品型物联网-连接服务-增值</t>
  </si>
  <si>
    <t>产业数字化-资源型业务-物联网-标品型物联网-应用服务-平台应用</t>
  </si>
  <si>
    <t>产业数字化-资源型业务-物联网-标品型物联网-应用服务-行业应用-能源应用</t>
  </si>
  <si>
    <t>产业数字化-资源型业务-物联网-标品型物联网-应用服务-行业应用-其他</t>
  </si>
  <si>
    <t>产业数字化-资源型业务-物联网-项目型物联网-其他</t>
  </si>
  <si>
    <t>产业数字化-资源型业务-5G定制网-标品型5G定制网-超级号卡</t>
  </si>
  <si>
    <t>产业数字化-资源型业务-5G定制网-标品型5G定制网-5G云专线</t>
  </si>
  <si>
    <t>产业数字化-资源型业务-5G定制网-项目型5G定制网-边缘定制</t>
  </si>
  <si>
    <t>产业数字化-资源型业务-5G定制网-项目型5G定制网-网元定制</t>
  </si>
  <si>
    <t>产业数字化-资源型业务-5G定制网-项目型5G定制网-服务定制</t>
  </si>
  <si>
    <t>产业数字化-ICT业务-行业云产品-标品销售公有云产品-IaaS-计算服务-通用云主机</t>
  </si>
  <si>
    <t>产业数字化-ICT业务-行业云产品-标品销售公有云产品-PaaS-息壤算网一体服务平台</t>
  </si>
  <si>
    <t>产业数字化-ICT业务-行业云产品-标品销售公有云产品-边缘云-自研</t>
  </si>
  <si>
    <t>现代服务业——信息技术服务——信息系统服务
销售货物</t>
  </si>
  <si>
    <t>产业数字化-ICT业务-行业AI产品-星辰大模型服务-行业大模型及智能体-其他</t>
  </si>
  <si>
    <t>现代服务业——信息技术服务——业务流程管理服务</t>
  </si>
  <si>
    <t>现代服务业——信息技术服务——软件服务
销售货物</t>
  </si>
  <si>
    <t>现代服务业——信息技术服务——信息系统服务
建筑服务——工程服务/安装服务
销售货物</t>
  </si>
  <si>
    <t>电信业——增值电信服务——电子数据和信息的传输及应用服务
建筑服务——工程服务/安装服务
销售软件</t>
  </si>
  <si>
    <t>金融服务——贷款服务——客户贷款——企业贷款</t>
  </si>
  <si>
    <t>销售货物</t>
  </si>
  <si>
    <t>销售无形资产——其他权益性无形资产</t>
  </si>
  <si>
    <t>现代服务业——商务辅助——人力资源服务</t>
  </si>
  <si>
    <t>现代服务业——经营租赁——不动产租赁</t>
  </si>
  <si>
    <t>现代服务业—融资租赁—有形动产融资租赁服务</t>
  </si>
  <si>
    <t>销售软件</t>
  </si>
  <si>
    <t>关注，暂按原9%、5%</t>
  </si>
  <si>
    <t>现代服务-商务辅助服务-经纪代理</t>
  </si>
  <si>
    <t>请根据业务及收入实质分别适用站址服务或网络元素租赁及经营租赁税目及税率</t>
  </si>
  <si>
    <t>版本调整</t>
  </si>
  <si>
    <t>业务模式</t>
  </si>
  <si>
    <t>列收方式（总额/净额）</t>
  </si>
  <si>
    <t>列收方式（非周期型）</t>
  </si>
  <si>
    <t>列收方式（投入/产出）</t>
  </si>
  <si>
    <t>列收方式（周期型）</t>
  </si>
  <si>
    <t>设备经销商租赁</t>
  </si>
  <si>
    <t>总额法、时点法</t>
  </si>
  <si>
    <t>非周期型</t>
  </si>
  <si>
    <t>投资-经营租赁</t>
  </si>
  <si>
    <t>总额法、时段法</t>
  </si>
  <si>
    <t>周期型</t>
  </si>
  <si>
    <t>设备买卖</t>
  </si>
  <si>
    <t>投资-集成服务</t>
  </si>
  <si>
    <t>设备受托代购</t>
  </si>
  <si>
    <t>净额法、时点法</t>
  </si>
  <si>
    <t>服务整合</t>
  </si>
  <si>
    <t>设备转租赁</t>
  </si>
  <si>
    <t>服务代理</t>
  </si>
  <si>
    <t>净额法、时段法</t>
  </si>
  <si>
    <t>投入法/产出法</t>
  </si>
  <si>
    <t>设备与第三方合作</t>
  </si>
  <si>
    <t>产出法</t>
  </si>
  <si>
    <t>业务模式与列收方式-非周期</t>
  </si>
  <si>
    <t>业务模式与列收方式-周期</t>
  </si>
  <si>
    <t>服务整合、总额法、时段法、投入法</t>
  </si>
  <si>
    <t>投资-经营租赁、总额法、时段法</t>
  </si>
  <si>
    <t>服务整合、总额法、时段法、产出法</t>
  </si>
  <si>
    <t>投资-集成服务、总额法、时段法</t>
  </si>
  <si>
    <t>服务代理、净额法、时段法、产出法</t>
  </si>
  <si>
    <t>服务代理、净额法、时段法</t>
  </si>
  <si>
    <t>服务代理、净额法、时点法</t>
  </si>
  <si>
    <t>设备与第三方合作、净额法、时段法</t>
  </si>
  <si>
    <t>设备买卖、总额法、时点法</t>
  </si>
  <si>
    <t>设备受托代购、净额法、时点法</t>
  </si>
  <si>
    <t>设备经销商租赁、总额法、时点法</t>
  </si>
  <si>
    <t>设备转租赁、净额法、时点法</t>
  </si>
  <si>
    <t>设备与第三方合作、净额法、时段法、产出法</t>
  </si>
  <si>
    <t>设备与第三方合作、净额法、时点法</t>
  </si>
</sst>
</file>

<file path=xl/styles.xml><?xml version="1.0" encoding="utf-8"?>
<styleSheet xmlns="http://schemas.openxmlformats.org/spreadsheetml/2006/main">
  <numFmts count="8">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_([$€-2]* #,##0.00_);_([$€-2]* \(#,##0.00\);_([$€-2]* &quot;-&quot;??_)"/>
    <numFmt numFmtId="177" formatCode="0_);[Red]\(0\)"/>
    <numFmt numFmtId="178" formatCode="0.0%"/>
    <numFmt numFmtId="179" formatCode="0.00_ "/>
  </numFmts>
  <fonts count="62">
    <font>
      <sz val="11"/>
      <color theme="1"/>
      <name val="等线"/>
      <charset val="134"/>
      <scheme val="minor"/>
    </font>
    <font>
      <sz val="12"/>
      <color theme="1"/>
      <name val="等线"/>
      <charset val="134"/>
    </font>
    <font>
      <sz val="12"/>
      <color rgb="FF000000"/>
      <name val="等线"/>
      <charset val="134"/>
    </font>
    <font>
      <sz val="12"/>
      <color rgb="FFC00000"/>
      <name val="等线"/>
      <charset val="134"/>
    </font>
    <font>
      <b/>
      <sz val="11"/>
      <color theme="0"/>
      <name val="微软雅黑"/>
      <charset val="134"/>
    </font>
    <font>
      <sz val="10"/>
      <name val="等线"/>
      <charset val="134"/>
    </font>
    <font>
      <sz val="8"/>
      <name val="等线"/>
      <charset val="134"/>
    </font>
    <font>
      <sz val="10"/>
      <color theme="1"/>
      <name val="等线"/>
      <charset val="134"/>
      <scheme val="minor"/>
    </font>
    <font>
      <sz val="10"/>
      <color rgb="FFFF0000"/>
      <name val="等线"/>
      <charset val="134"/>
    </font>
    <font>
      <sz val="8"/>
      <color rgb="FFFF0000"/>
      <name val="等线"/>
      <charset val="134"/>
    </font>
    <font>
      <sz val="10"/>
      <color theme="1"/>
      <name val="等线"/>
      <charset val="134"/>
    </font>
    <font>
      <sz val="8"/>
      <color theme="1"/>
      <name val="等线"/>
      <charset val="134"/>
    </font>
    <font>
      <sz val="10"/>
      <name val="等线"/>
      <charset val="134"/>
      <scheme val="minor"/>
    </font>
    <font>
      <sz val="8"/>
      <name val="等线"/>
      <charset val="134"/>
      <scheme val="minor"/>
    </font>
    <font>
      <sz val="10"/>
      <color rgb="FFFF0000"/>
      <name val="等线"/>
      <charset val="134"/>
      <scheme val="minor"/>
    </font>
    <font>
      <sz val="11"/>
      <name val="等线"/>
      <charset val="134"/>
      <scheme val="minor"/>
    </font>
    <font>
      <sz val="9"/>
      <name val="微软雅黑"/>
      <charset val="134"/>
    </font>
    <font>
      <b/>
      <sz val="10"/>
      <color theme="0"/>
      <name val="微软雅黑"/>
      <charset val="134"/>
    </font>
    <font>
      <sz val="9"/>
      <color theme="1"/>
      <name val="微软雅黑"/>
      <charset val="134"/>
    </font>
    <font>
      <sz val="10"/>
      <name val="微软雅黑"/>
      <charset val="134"/>
    </font>
    <font>
      <sz val="10"/>
      <color rgb="FFFF0000"/>
      <name val="微软雅黑"/>
      <charset val="134"/>
    </font>
    <font>
      <sz val="9"/>
      <color rgb="FFFF0000"/>
      <name val="微软雅黑"/>
      <charset val="134"/>
    </font>
    <font>
      <b/>
      <sz val="12"/>
      <color rgb="FFFF0000"/>
      <name val="微软雅黑"/>
      <charset val="134"/>
    </font>
    <font>
      <sz val="10"/>
      <color theme="1"/>
      <name val="微软雅黑"/>
      <charset val="134"/>
    </font>
    <font>
      <b/>
      <sz val="16"/>
      <color theme="1"/>
      <name val="微软雅黑"/>
      <charset val="134"/>
    </font>
    <font>
      <b/>
      <sz val="11"/>
      <color rgb="FFFF0000"/>
      <name val="微软雅黑"/>
      <charset val="134"/>
    </font>
    <font>
      <b/>
      <sz val="10"/>
      <color rgb="FFC00000"/>
      <name val="等线"/>
      <charset val="134"/>
      <scheme val="minor"/>
    </font>
    <font>
      <b/>
      <sz val="10"/>
      <color rgb="FFFF0000"/>
      <name val="微软雅黑"/>
      <charset val="134"/>
    </font>
    <font>
      <b/>
      <sz val="10"/>
      <color indexed="8"/>
      <name val="微软雅黑"/>
      <charset val="134"/>
    </font>
    <font>
      <b/>
      <sz val="10"/>
      <color theme="1"/>
      <name val="等线"/>
      <charset val="134"/>
      <scheme val="minor"/>
    </font>
    <font>
      <sz val="10"/>
      <color indexed="8"/>
      <name val="微软雅黑"/>
      <charset val="134"/>
    </font>
    <font>
      <b/>
      <sz val="10"/>
      <color theme="1"/>
      <name val="微软雅黑"/>
      <charset val="134"/>
    </font>
    <font>
      <b/>
      <u/>
      <sz val="10"/>
      <color rgb="FFFF0000"/>
      <name val="微软雅黑"/>
      <charset val="134"/>
    </font>
    <font>
      <sz val="10"/>
      <color rgb="FFC00000"/>
      <name val="微软雅黑"/>
      <charset val="134"/>
    </font>
    <font>
      <b/>
      <sz val="10"/>
      <color rgb="FF000000"/>
      <name val="微软雅黑"/>
      <charset val="134"/>
    </font>
    <font>
      <sz val="16"/>
      <color theme="1"/>
      <name val="微软雅黑"/>
      <charset val="134"/>
    </font>
    <font>
      <sz val="11"/>
      <color theme="1"/>
      <name val="等线"/>
      <charset val="0"/>
      <scheme val="minor"/>
    </font>
    <font>
      <sz val="11"/>
      <color rgb="FF3F3F76"/>
      <name val="等线"/>
      <charset val="0"/>
      <scheme val="minor"/>
    </font>
    <font>
      <sz val="11"/>
      <color rgb="FF9C0006"/>
      <name val="等线"/>
      <charset val="0"/>
      <scheme val="minor"/>
    </font>
    <font>
      <sz val="11"/>
      <color theme="0"/>
      <name val="等线"/>
      <charset val="0"/>
      <scheme val="minor"/>
    </font>
    <font>
      <u/>
      <sz val="11"/>
      <color rgb="FF0000FF"/>
      <name val="等线"/>
      <charset val="0"/>
      <scheme val="minor"/>
    </font>
    <font>
      <u/>
      <sz val="11"/>
      <color rgb="FF800080"/>
      <name val="等线"/>
      <charset val="0"/>
      <scheme val="minor"/>
    </font>
    <font>
      <b/>
      <sz val="11"/>
      <color theme="3"/>
      <name val="等线"/>
      <charset val="134"/>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sz val="11"/>
      <color indexed="8"/>
      <name val="等线"/>
      <charset val="134"/>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6500"/>
      <name val="等线"/>
      <charset val="0"/>
      <scheme val="minor"/>
    </font>
    <font>
      <sz val="10"/>
      <name val="Arial"/>
      <charset val="134"/>
    </font>
    <font>
      <b/>
      <sz val="10"/>
      <color indexed="60"/>
      <name val="宋体"/>
      <charset val="134"/>
    </font>
    <font>
      <b/>
      <sz val="10"/>
      <color rgb="FF993300"/>
      <name val="微软雅黑"/>
      <charset val="134"/>
    </font>
    <font>
      <b/>
      <sz val="10"/>
      <color rgb="FF333399"/>
      <name val="微软雅黑"/>
      <charset val="134"/>
    </font>
    <font>
      <b/>
      <sz val="10"/>
      <color rgb="FFFF0000"/>
      <name val="宋体"/>
      <charset val="134"/>
    </font>
    <font>
      <b/>
      <sz val="10"/>
      <color rgb="FFFF0000"/>
      <name val="等线"/>
      <charset val="134"/>
      <scheme val="minor"/>
    </font>
  </fonts>
  <fills count="45">
    <fill>
      <patternFill patternType="none"/>
    </fill>
    <fill>
      <patternFill patternType="gray125"/>
    </fill>
    <fill>
      <patternFill patternType="solid">
        <fgColor rgb="FFFFFF00"/>
        <bgColor indexed="64"/>
      </patternFill>
    </fill>
    <fill>
      <patternFill patternType="solid">
        <fgColor theme="4"/>
        <bgColor indexed="64"/>
      </patternFill>
    </fill>
    <fill>
      <patternFill patternType="solid">
        <fgColor rgb="FF00B050"/>
        <bgColor indexed="64"/>
      </patternFill>
    </fill>
    <fill>
      <patternFill patternType="solid">
        <fgColor theme="0"/>
        <bgColor indexed="64"/>
      </patternFill>
    </fill>
    <fill>
      <patternFill patternType="solid">
        <fgColor theme="9" tint="0.799890133365886"/>
        <bgColor indexed="64"/>
      </patternFill>
    </fill>
    <fill>
      <patternFill patternType="solid">
        <fgColor theme="9" tint="0.79985961485641"/>
        <bgColor indexed="64"/>
      </patternFill>
    </fill>
    <fill>
      <patternFill patternType="solid">
        <fgColor theme="9" tint="0.799920651875362"/>
        <bgColor indexed="64"/>
      </patternFill>
    </fill>
    <fill>
      <patternFill patternType="solid">
        <fgColor theme="4" tint="0.799920651875362"/>
        <bgColor indexed="64"/>
      </patternFill>
    </fill>
    <fill>
      <patternFill patternType="solid">
        <fgColor rgb="FFFF0000"/>
        <bgColor indexed="64"/>
      </patternFill>
    </fill>
    <fill>
      <patternFill patternType="solid">
        <fgColor theme="9" tint="0.799981688894314"/>
        <bgColor indexed="64"/>
      </patternFill>
    </fill>
    <fill>
      <patternFill patternType="solid">
        <fgColor theme="4" tint="0.799890133365886"/>
        <bgColor indexed="64"/>
      </patternFill>
    </fill>
    <fill>
      <patternFill patternType="solid">
        <fgColor rgb="FFFFFFCC"/>
        <bgColor indexed="64"/>
      </patternFill>
    </fill>
    <fill>
      <patternFill patternType="solid">
        <fgColor theme="4" tint="0.799951170384838"/>
        <bgColor indexed="64"/>
      </patternFill>
    </fill>
    <fill>
      <patternFill patternType="solid">
        <fgColor theme="7" tint="0.8"/>
        <bgColor indexed="64"/>
      </patternFill>
    </fill>
    <fill>
      <patternFill patternType="solid">
        <fgColor theme="9" tint="0.8"/>
        <bgColor indexed="64"/>
      </patternFill>
    </fill>
    <fill>
      <patternFill patternType="solid">
        <fgColor theme="8" tint="0.599993896298105"/>
        <bgColor indexed="64"/>
      </patternFill>
    </fill>
    <fill>
      <patternFill patternType="solid">
        <fgColor theme="6" tint="0.799981688894314"/>
        <bgColor indexed="64"/>
      </patternFill>
    </fill>
    <fill>
      <patternFill patternType="solid">
        <fgColor rgb="FFFFCC99"/>
        <bgColor indexed="64"/>
      </patternFill>
    </fill>
    <fill>
      <patternFill patternType="solid">
        <fgColor theme="6" tint="0.599993896298105"/>
        <bgColor indexed="64"/>
      </patternFill>
    </fill>
    <fill>
      <patternFill patternType="solid">
        <fgColor rgb="FFFFC7CE"/>
        <bgColor indexed="64"/>
      </patternFill>
    </fill>
    <fill>
      <patternFill patternType="solid">
        <fgColor theme="6" tint="0.399975585192419"/>
        <bgColor indexed="64"/>
      </patternFill>
    </fill>
    <fill>
      <patternFill patternType="solid">
        <fgColor theme="5" tint="0.399975585192419"/>
        <bgColor indexed="64"/>
      </patternFill>
    </fill>
    <fill>
      <patternFill patternType="solid">
        <fgColor theme="4" tint="0.399975585192419"/>
        <bgColor indexed="64"/>
      </patternFill>
    </fill>
    <fill>
      <patternFill patternType="solid">
        <fgColor theme="7" tint="0.399975585192419"/>
        <bgColor indexed="64"/>
      </patternFill>
    </fill>
    <fill>
      <patternFill patternType="solid">
        <fgColor rgb="FFF2F2F2"/>
        <bgColor indexed="64"/>
      </patternFill>
    </fill>
    <fill>
      <patternFill patternType="solid">
        <fgColor rgb="FFA5A5A5"/>
        <bgColor indexed="64"/>
      </patternFill>
    </fill>
    <fill>
      <patternFill patternType="solid">
        <fgColor theme="5"/>
        <bgColor indexed="64"/>
      </patternFill>
    </fill>
    <fill>
      <patternFill patternType="solid">
        <fgColor rgb="FFC6EFCE"/>
        <bgColor indexed="64"/>
      </patternFill>
    </fill>
    <fill>
      <patternFill patternType="solid">
        <fgColor rgb="FFFFEB9C"/>
        <bgColor indexed="64"/>
      </patternFill>
    </fill>
    <fill>
      <patternFill patternType="solid">
        <fgColor theme="8" tint="0.79998168889431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6"/>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8"/>
        <bgColor indexed="64"/>
      </patternFill>
    </fill>
    <fill>
      <patternFill patternType="solid">
        <fgColor theme="8" tint="0.399975585192419"/>
        <bgColor indexed="64"/>
      </patternFill>
    </fill>
    <fill>
      <patternFill patternType="solid">
        <fgColor theme="9"/>
        <bgColor indexed="64"/>
      </patternFill>
    </fill>
    <fill>
      <patternFill patternType="solid">
        <fgColor theme="9" tint="0.599993896298105"/>
        <bgColor indexed="64"/>
      </patternFill>
    </fill>
    <fill>
      <patternFill patternType="solid">
        <fgColor theme="9" tint="0.399975585192419"/>
        <bgColor indexed="64"/>
      </patternFill>
    </fill>
  </fills>
  <borders count="33">
    <border>
      <left/>
      <right/>
      <top/>
      <bottom/>
      <diagonal/>
    </border>
    <border>
      <left style="thin">
        <color auto="1"/>
      </left>
      <right style="thin">
        <color auto="1"/>
      </right>
      <top style="thin">
        <color auto="1"/>
      </top>
      <bottom style="thin">
        <color auto="1"/>
      </bottom>
      <diagonal/>
    </border>
    <border diagonalDown="1">
      <left style="medium">
        <color auto="1"/>
      </left>
      <right style="thin">
        <color auto="1"/>
      </right>
      <top style="medium">
        <color auto="1"/>
      </top>
      <bottom style="thin">
        <color auto="1"/>
      </bottom>
      <diagonal style="thin">
        <color auto="1"/>
      </diagonal>
    </border>
    <border>
      <left style="thin">
        <color auto="1"/>
      </left>
      <right style="thin">
        <color auto="1"/>
      </right>
      <top style="medium">
        <color auto="1"/>
      </top>
      <bottom style="thin">
        <color auto="1"/>
      </bottom>
      <diagonal/>
    </border>
    <border>
      <left style="medium">
        <color auto="1"/>
      </left>
      <right style="thin">
        <color auto="1"/>
      </right>
      <top/>
      <bottom style="thin">
        <color auto="1"/>
      </bottom>
      <diagonal/>
    </border>
    <border>
      <left/>
      <right style="thin">
        <color auto="1"/>
      </right>
      <top/>
      <bottom style="thin">
        <color auto="1"/>
      </bottom>
      <diagonal/>
    </border>
    <border>
      <left style="medium">
        <color auto="1"/>
      </left>
      <right style="thin">
        <color auto="1"/>
      </right>
      <top style="thin">
        <color auto="1"/>
      </top>
      <bottom style="thin">
        <color auto="1"/>
      </bottom>
      <diagonal/>
    </border>
    <border>
      <left/>
      <right style="thin">
        <color auto="1"/>
      </right>
      <top style="thin">
        <color auto="1"/>
      </top>
      <bottom style="thin">
        <color auto="1"/>
      </bottom>
      <diagonal/>
    </border>
    <border>
      <left/>
      <right style="thin">
        <color auto="1"/>
      </right>
      <top style="thin">
        <color auto="1"/>
      </top>
      <bottom/>
      <diagonal/>
    </border>
    <border>
      <left style="medium">
        <color auto="1"/>
      </left>
      <right style="thin">
        <color auto="1"/>
      </right>
      <top style="thin">
        <color auto="1"/>
      </top>
      <bottom style="medium">
        <color auto="1"/>
      </bottom>
      <diagonal/>
    </border>
    <border>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right style="thin">
        <color auto="1"/>
      </right>
      <top style="medium">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diagonal/>
    </border>
    <border>
      <left style="thin">
        <color auto="1"/>
      </left>
      <right style="thin">
        <color auto="1"/>
      </right>
      <top style="thin">
        <color auto="1"/>
      </top>
      <bottom/>
      <diagonal/>
    </border>
    <border>
      <left/>
      <right/>
      <top style="thin">
        <color auto="1"/>
      </top>
      <bottom/>
      <diagonal/>
    </border>
    <border>
      <left style="thin">
        <color auto="1"/>
      </left>
      <right style="medium">
        <color auto="1"/>
      </right>
      <top style="medium">
        <color auto="1"/>
      </top>
      <bottom style="medium">
        <color auto="1"/>
      </bottom>
      <diagonal/>
    </border>
    <border>
      <left/>
      <right style="medium">
        <color auto="1"/>
      </right>
      <top style="medium">
        <color auto="1"/>
      </top>
      <bottom style="thin">
        <color auto="1"/>
      </bottom>
      <diagonal/>
    </border>
    <border>
      <left/>
      <right style="medium">
        <color auto="1"/>
      </right>
      <top style="thin">
        <color auto="1"/>
      </top>
      <bottom/>
      <diagonal/>
    </border>
    <border>
      <left/>
      <right style="medium">
        <color auto="1"/>
      </right>
      <top style="thin">
        <color auto="1"/>
      </top>
      <bottom style="medium">
        <color auto="1"/>
      </bottom>
      <diagonal/>
    </border>
    <border>
      <left style="thin">
        <color auto="1"/>
      </left>
      <right style="medium">
        <color auto="1"/>
      </right>
      <top style="medium">
        <color auto="1"/>
      </top>
      <bottom style="thin">
        <color auto="1"/>
      </bottom>
      <diagonal/>
    </border>
    <border>
      <left style="thin">
        <color auto="1"/>
      </left>
      <right style="medium">
        <color auto="1"/>
      </right>
      <top style="thin">
        <color auto="1"/>
      </top>
      <bottom style="medium">
        <color auto="1"/>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6">
    <xf numFmtId="0" fontId="0" fillId="0" borderId="0">
      <alignment vertical="center"/>
    </xf>
    <xf numFmtId="42" fontId="0" fillId="0" borderId="0" applyFont="0" applyFill="0" applyBorder="0" applyAlignment="0" applyProtection="0">
      <alignment vertical="center"/>
    </xf>
    <xf numFmtId="0" fontId="36" fillId="18" borderId="0" applyNumberFormat="0" applyBorder="0" applyAlignment="0" applyProtection="0">
      <alignment vertical="center"/>
    </xf>
    <xf numFmtId="0" fontId="37" fillId="19" borderId="25" applyNumberFormat="0" applyAlignment="0" applyProtection="0">
      <alignment vertical="center"/>
    </xf>
    <xf numFmtId="44" fontId="0" fillId="0" borderId="0" applyFont="0" applyFill="0" applyBorder="0" applyAlignment="0" applyProtection="0">
      <alignment vertical="center"/>
    </xf>
    <xf numFmtId="41" fontId="0" fillId="0" borderId="0" applyFont="0" applyFill="0" applyBorder="0" applyAlignment="0" applyProtection="0">
      <alignment vertical="center"/>
    </xf>
    <xf numFmtId="0" fontId="36" fillId="20" borderId="0" applyNumberFormat="0" applyBorder="0" applyAlignment="0" applyProtection="0">
      <alignment vertical="center"/>
    </xf>
    <xf numFmtId="0" fontId="38" fillId="21" borderId="0" applyNumberFormat="0" applyBorder="0" applyAlignment="0" applyProtection="0">
      <alignment vertical="center"/>
    </xf>
    <xf numFmtId="43" fontId="0" fillId="0" borderId="0" applyFont="0" applyFill="0" applyBorder="0" applyAlignment="0" applyProtection="0">
      <alignment vertical="center"/>
    </xf>
    <xf numFmtId="0" fontId="39" fillId="22" borderId="0" applyNumberFormat="0" applyBorder="0" applyAlignment="0" applyProtection="0">
      <alignment vertical="center"/>
    </xf>
    <xf numFmtId="0" fontId="40" fillId="0" borderId="0" applyNumberFormat="0" applyFill="0" applyBorder="0" applyAlignment="0" applyProtection="0">
      <alignment vertical="center"/>
    </xf>
    <xf numFmtId="9" fontId="0" fillId="0" borderId="0" applyFont="0" applyFill="0" applyBorder="0" applyAlignment="0" applyProtection="0">
      <alignment vertical="center"/>
    </xf>
    <xf numFmtId="0" fontId="41" fillId="0" borderId="0" applyNumberFormat="0" applyFill="0" applyBorder="0" applyAlignment="0" applyProtection="0">
      <alignment vertical="center"/>
    </xf>
    <xf numFmtId="0" fontId="0" fillId="13" borderId="26" applyNumberFormat="0" applyFont="0" applyAlignment="0" applyProtection="0">
      <alignment vertical="center"/>
    </xf>
    <xf numFmtId="0" fontId="39" fillId="23" borderId="0" applyNumberFormat="0" applyBorder="0" applyAlignment="0" applyProtection="0">
      <alignment vertical="center"/>
    </xf>
    <xf numFmtId="0" fontId="42" fillId="0" borderId="0" applyNumberFormat="0" applyFill="0" applyBorder="0" applyAlignment="0" applyProtection="0">
      <alignment vertical="center"/>
    </xf>
    <xf numFmtId="0" fontId="43" fillId="0" borderId="0" applyNumberFormat="0" applyFill="0" applyBorder="0" applyAlignment="0" applyProtection="0">
      <alignment vertical="center"/>
    </xf>
    <xf numFmtId="0" fontId="44" fillId="0" borderId="0" applyNumberFormat="0" applyFill="0" applyBorder="0" applyAlignment="0" applyProtection="0">
      <alignment vertical="center"/>
    </xf>
    <xf numFmtId="0" fontId="45" fillId="0" borderId="0" applyNumberFormat="0" applyFill="0" applyBorder="0" applyAlignment="0" applyProtection="0">
      <alignment vertical="center"/>
    </xf>
    <xf numFmtId="0" fontId="46" fillId="0" borderId="27" applyNumberFormat="0" applyFill="0" applyAlignment="0" applyProtection="0">
      <alignment vertical="center"/>
    </xf>
    <xf numFmtId="0" fontId="47" fillId="0" borderId="27" applyNumberFormat="0" applyFill="0" applyAlignment="0" applyProtection="0">
      <alignment vertical="center"/>
    </xf>
    <xf numFmtId="0" fontId="48" fillId="0" borderId="0">
      <alignment vertical="center"/>
    </xf>
    <xf numFmtId="0" fontId="39" fillId="24" borderId="0" applyNumberFormat="0" applyBorder="0" applyAlignment="0" applyProtection="0">
      <alignment vertical="center"/>
    </xf>
    <xf numFmtId="0" fontId="42" fillId="0" borderId="28" applyNumberFormat="0" applyFill="0" applyAlignment="0" applyProtection="0">
      <alignment vertical="center"/>
    </xf>
    <xf numFmtId="0" fontId="39" fillId="25" borderId="0" applyNumberFormat="0" applyBorder="0" applyAlignment="0" applyProtection="0">
      <alignment vertical="center"/>
    </xf>
    <xf numFmtId="0" fontId="49" fillId="26" borderId="29" applyNumberFormat="0" applyAlignment="0" applyProtection="0">
      <alignment vertical="center"/>
    </xf>
    <xf numFmtId="0" fontId="50" fillId="26" borderId="25" applyNumberFormat="0" applyAlignment="0" applyProtection="0">
      <alignment vertical="center"/>
    </xf>
    <xf numFmtId="0" fontId="51" fillId="27" borderId="30" applyNumberFormat="0" applyAlignment="0" applyProtection="0">
      <alignment vertical="center"/>
    </xf>
    <xf numFmtId="0" fontId="36" fillId="11" borderId="0" applyNumberFormat="0" applyBorder="0" applyAlignment="0" applyProtection="0">
      <alignment vertical="center"/>
    </xf>
    <xf numFmtId="0" fontId="39" fillId="28" borderId="0" applyNumberFormat="0" applyBorder="0" applyAlignment="0" applyProtection="0">
      <alignment vertical="center"/>
    </xf>
    <xf numFmtId="0" fontId="52" fillId="0" borderId="31" applyNumberFormat="0" applyFill="0" applyAlignment="0" applyProtection="0">
      <alignment vertical="center"/>
    </xf>
    <xf numFmtId="0" fontId="53" fillId="0" borderId="32" applyNumberFormat="0" applyFill="0" applyAlignment="0" applyProtection="0">
      <alignment vertical="center"/>
    </xf>
    <xf numFmtId="0" fontId="54" fillId="29" borderId="0" applyNumberFormat="0" applyBorder="0" applyAlignment="0" applyProtection="0">
      <alignment vertical="center"/>
    </xf>
    <xf numFmtId="0" fontId="55" fillId="30" borderId="0" applyNumberFormat="0" applyBorder="0" applyAlignment="0" applyProtection="0">
      <alignment vertical="center"/>
    </xf>
    <xf numFmtId="0" fontId="36" fillId="31" borderId="0" applyNumberFormat="0" applyBorder="0" applyAlignment="0" applyProtection="0">
      <alignment vertical="center"/>
    </xf>
    <xf numFmtId="0" fontId="39" fillId="3" borderId="0" applyNumberFormat="0" applyBorder="0" applyAlignment="0" applyProtection="0">
      <alignment vertical="center"/>
    </xf>
    <xf numFmtId="0" fontId="36" fillId="32" borderId="0" applyNumberFormat="0" applyBorder="0" applyAlignment="0" applyProtection="0">
      <alignment vertical="center"/>
    </xf>
    <xf numFmtId="0" fontId="36" fillId="33" borderId="0" applyNumberFormat="0" applyBorder="0" applyAlignment="0" applyProtection="0">
      <alignment vertical="center"/>
    </xf>
    <xf numFmtId="0" fontId="36" fillId="34" borderId="0" applyNumberFormat="0" applyBorder="0" applyAlignment="0" applyProtection="0">
      <alignment vertical="center"/>
    </xf>
    <xf numFmtId="0" fontId="36" fillId="35" borderId="0" applyNumberFormat="0" applyBorder="0" applyAlignment="0" applyProtection="0">
      <alignment vertical="center"/>
    </xf>
    <xf numFmtId="0" fontId="39" fillId="36" borderId="0" applyNumberFormat="0" applyBorder="0" applyAlignment="0" applyProtection="0">
      <alignment vertical="center"/>
    </xf>
    <xf numFmtId="0" fontId="39" fillId="37" borderId="0" applyNumberFormat="0" applyBorder="0" applyAlignment="0" applyProtection="0">
      <alignment vertical="center"/>
    </xf>
    <xf numFmtId="0" fontId="36" fillId="38" borderId="0" applyNumberFormat="0" applyBorder="0" applyAlignment="0" applyProtection="0">
      <alignment vertical="center"/>
    </xf>
    <xf numFmtId="0" fontId="36" fillId="39" borderId="0" applyNumberFormat="0" applyBorder="0" applyAlignment="0" applyProtection="0">
      <alignment vertical="center"/>
    </xf>
    <xf numFmtId="0" fontId="39" fillId="40" borderId="0" applyNumberFormat="0" applyBorder="0" applyAlignment="0" applyProtection="0">
      <alignment vertical="center"/>
    </xf>
    <xf numFmtId="0" fontId="36" fillId="17" borderId="0" applyNumberFormat="0" applyBorder="0" applyAlignment="0" applyProtection="0">
      <alignment vertical="center"/>
    </xf>
    <xf numFmtId="0" fontId="39" fillId="41" borderId="0" applyNumberFormat="0" applyBorder="0" applyAlignment="0" applyProtection="0">
      <alignment vertical="center"/>
    </xf>
    <xf numFmtId="0" fontId="39" fillId="42" borderId="0" applyNumberFormat="0" applyBorder="0" applyAlignment="0" applyProtection="0">
      <alignment vertical="center"/>
    </xf>
    <xf numFmtId="0" fontId="36" fillId="43" borderId="0" applyNumberFormat="0" applyBorder="0" applyAlignment="0" applyProtection="0">
      <alignment vertical="center"/>
    </xf>
    <xf numFmtId="0" fontId="39" fillId="44" borderId="0" applyNumberFormat="0" applyBorder="0" applyAlignment="0" applyProtection="0">
      <alignment vertical="center"/>
    </xf>
    <xf numFmtId="9" fontId="0" fillId="0" borderId="0" applyFont="0" applyFill="0" applyBorder="0" applyAlignment="0" applyProtection="0">
      <alignment vertical="center"/>
    </xf>
    <xf numFmtId="0" fontId="0" fillId="0" borderId="0"/>
    <xf numFmtId="176" fontId="0" fillId="0" borderId="0"/>
    <xf numFmtId="0" fontId="0" fillId="0" borderId="0">
      <alignment vertical="center"/>
    </xf>
    <xf numFmtId="43" fontId="0" fillId="0" borderId="0" applyFont="0" applyFill="0" applyBorder="0" applyAlignment="0" applyProtection="0">
      <alignment vertical="center"/>
    </xf>
    <xf numFmtId="0" fontId="56" fillId="0" borderId="0"/>
  </cellStyleXfs>
  <cellXfs count="208">
    <xf numFmtId="0" fontId="0" fillId="0" borderId="0" xfId="0">
      <alignment vertical="center"/>
    </xf>
    <xf numFmtId="0" fontId="1" fillId="2" borderId="1" xfId="0" applyFont="1" applyFill="1" applyBorder="1">
      <alignment vertical="center"/>
    </xf>
    <xf numFmtId="0" fontId="1" fillId="0" borderId="0" xfId="0" applyFont="1">
      <alignment vertical="center"/>
    </xf>
    <xf numFmtId="0" fontId="2" fillId="0" borderId="1" xfId="0" applyFont="1" applyBorder="1" applyAlignment="1">
      <alignment horizontal="left" vertical="center" readingOrder="1"/>
    </xf>
    <xf numFmtId="0" fontId="2" fillId="0" borderId="1" xfId="0" applyFont="1" applyBorder="1">
      <alignment vertical="center"/>
    </xf>
    <xf numFmtId="0" fontId="1" fillId="0" borderId="1" xfId="0" applyFont="1" applyBorder="1">
      <alignment vertical="center"/>
    </xf>
    <xf numFmtId="0" fontId="3" fillId="0" borderId="1" xfId="0" applyFont="1" applyBorder="1" applyAlignment="1">
      <alignment horizontal="left" vertical="center" readingOrder="1"/>
    </xf>
    <xf numFmtId="0" fontId="4" fillId="3" borderId="1" xfId="0" applyFont="1" applyFill="1" applyBorder="1" applyAlignment="1">
      <alignment horizontal="center" vertical="center" wrapText="1"/>
    </xf>
    <xf numFmtId="9" fontId="4" fillId="4" borderId="1" xfId="50" applyFont="1" applyFill="1" applyBorder="1" applyAlignment="1">
      <alignment horizontal="center" vertical="center" wrapText="1"/>
    </xf>
    <xf numFmtId="177" fontId="5" fillId="5" borderId="1" xfId="51" applyNumberFormat="1" applyFont="1" applyFill="1" applyBorder="1" applyAlignment="1">
      <alignment horizontal="center" vertical="center"/>
    </xf>
    <xf numFmtId="177" fontId="6" fillId="5" borderId="1" xfId="51" applyNumberFormat="1" applyFont="1" applyFill="1" applyBorder="1" applyAlignment="1">
      <alignment horizontal="left" vertical="center"/>
    </xf>
    <xf numFmtId="9" fontId="5" fillId="5" borderId="1" xfId="11" applyFont="1" applyFill="1" applyBorder="1" applyAlignment="1">
      <alignment horizontal="center" vertical="center" wrapText="1"/>
    </xf>
    <xf numFmtId="0" fontId="6" fillId="5" borderId="1" xfId="0" applyFont="1" applyFill="1" applyBorder="1" applyAlignment="1">
      <alignment horizontal="center" vertical="center" wrapText="1"/>
    </xf>
    <xf numFmtId="178" fontId="6" fillId="5" borderId="1" xfId="11" applyNumberFormat="1" applyFont="1" applyFill="1" applyBorder="1" applyAlignment="1">
      <alignment horizontal="center" vertical="center" wrapText="1"/>
    </xf>
    <xf numFmtId="0" fontId="7" fillId="0" borderId="0" xfId="0" applyFont="1">
      <alignment vertical="center"/>
    </xf>
    <xf numFmtId="177" fontId="5" fillId="6" borderId="1" xfId="51" applyNumberFormat="1" applyFont="1" applyFill="1" applyBorder="1" applyAlignment="1">
      <alignment horizontal="center" vertical="center"/>
    </xf>
    <xf numFmtId="177" fontId="6" fillId="6" borderId="1" xfId="51" applyNumberFormat="1" applyFont="1" applyFill="1" applyBorder="1" applyAlignment="1">
      <alignment horizontal="left" vertical="center"/>
    </xf>
    <xf numFmtId="9" fontId="8" fillId="7" borderId="1" xfId="11" applyFont="1" applyFill="1" applyBorder="1" applyAlignment="1">
      <alignment horizontal="center" vertical="center" wrapText="1"/>
    </xf>
    <xf numFmtId="0" fontId="9" fillId="7" borderId="1" xfId="0" applyFont="1" applyFill="1" applyBorder="1" applyAlignment="1">
      <alignment horizontal="center" vertical="center" wrapText="1"/>
    </xf>
    <xf numFmtId="178" fontId="9" fillId="7" borderId="1" xfId="11" applyNumberFormat="1" applyFont="1" applyFill="1" applyBorder="1" applyAlignment="1">
      <alignment horizontal="center" vertical="center" wrapText="1"/>
    </xf>
    <xf numFmtId="177" fontId="5" fillId="2" borderId="1" xfId="51" applyNumberFormat="1" applyFont="1" applyFill="1" applyBorder="1" applyAlignment="1">
      <alignment horizontal="center" vertical="center"/>
    </xf>
    <xf numFmtId="177" fontId="6" fillId="2" borderId="1" xfId="51" applyNumberFormat="1" applyFont="1" applyFill="1" applyBorder="1" applyAlignment="1">
      <alignment horizontal="left" vertical="center"/>
    </xf>
    <xf numFmtId="9" fontId="5" fillId="2" borderId="1" xfId="11" applyFont="1" applyFill="1" applyBorder="1" applyAlignment="1">
      <alignment horizontal="center" vertical="center" wrapText="1"/>
    </xf>
    <xf numFmtId="0" fontId="6" fillId="2" borderId="1" xfId="11" applyNumberFormat="1" applyFont="1" applyFill="1" applyBorder="1" applyAlignment="1">
      <alignment horizontal="center" vertical="center" wrapText="1"/>
    </xf>
    <xf numFmtId="9" fontId="8" fillId="2" borderId="1" xfId="11" applyFont="1" applyFill="1" applyBorder="1" applyAlignment="1">
      <alignment horizontal="center" vertical="center" wrapText="1"/>
    </xf>
    <xf numFmtId="0" fontId="9" fillId="2" borderId="1" xfId="0" applyFont="1" applyFill="1" applyBorder="1" applyAlignment="1">
      <alignment horizontal="center" vertical="center" wrapText="1"/>
    </xf>
    <xf numFmtId="0" fontId="9" fillId="2" borderId="1" xfId="11" applyNumberFormat="1" applyFont="1" applyFill="1" applyBorder="1" applyAlignment="1">
      <alignment horizontal="center" vertical="center" wrapText="1"/>
    </xf>
    <xf numFmtId="0" fontId="6" fillId="5" borderId="1" xfId="51" applyFont="1" applyFill="1" applyBorder="1" applyAlignment="1">
      <alignment vertical="center"/>
    </xf>
    <xf numFmtId="0" fontId="6" fillId="2" borderId="1" xfId="0" applyFont="1" applyFill="1" applyBorder="1" applyAlignment="1">
      <alignment horizontal="center" vertical="center" wrapText="1"/>
    </xf>
    <xf numFmtId="178" fontId="6" fillId="2" borderId="1" xfId="11" applyNumberFormat="1" applyFont="1" applyFill="1" applyBorder="1" applyAlignment="1">
      <alignment horizontal="center" vertical="center" wrapText="1"/>
    </xf>
    <xf numFmtId="178" fontId="9" fillId="5" borderId="1" xfId="11" applyNumberFormat="1" applyFont="1" applyFill="1" applyBorder="1" applyAlignment="1">
      <alignment horizontal="center" vertical="center" wrapText="1"/>
    </xf>
    <xf numFmtId="9" fontId="8" fillId="5" borderId="1" xfId="11" applyFont="1" applyFill="1" applyBorder="1" applyAlignment="1">
      <alignment horizontal="center" vertical="center" wrapText="1"/>
    </xf>
    <xf numFmtId="0" fontId="9" fillId="5" borderId="1" xfId="0" applyFont="1" applyFill="1" applyBorder="1" applyAlignment="1">
      <alignment horizontal="center" vertical="center" wrapText="1"/>
    </xf>
    <xf numFmtId="9" fontId="8" fillId="8" borderId="1" xfId="11" applyFont="1" applyFill="1" applyBorder="1" applyAlignment="1">
      <alignment horizontal="center" vertical="center" wrapText="1"/>
    </xf>
    <xf numFmtId="0" fontId="9" fillId="6" borderId="1" xfId="0" applyFont="1" applyFill="1" applyBorder="1" applyAlignment="1">
      <alignment horizontal="center" vertical="center" wrapText="1"/>
    </xf>
    <xf numFmtId="178" fontId="6" fillId="6" borderId="1" xfId="11" applyNumberFormat="1" applyFont="1" applyFill="1" applyBorder="1" applyAlignment="1">
      <alignment horizontal="center" vertical="center" wrapText="1"/>
    </xf>
    <xf numFmtId="0" fontId="6" fillId="5" borderId="1" xfId="11" applyNumberFormat="1" applyFont="1" applyFill="1" applyBorder="1" applyAlignment="1">
      <alignment horizontal="center" vertical="center" wrapText="1"/>
    </xf>
    <xf numFmtId="9" fontId="8" fillId="6" borderId="1" xfId="11" applyFont="1" applyFill="1" applyBorder="1" applyAlignment="1">
      <alignment horizontal="center" vertical="center" wrapText="1"/>
    </xf>
    <xf numFmtId="0" fontId="6" fillId="6" borderId="1" xfId="11" applyNumberFormat="1" applyFont="1" applyFill="1" applyBorder="1" applyAlignment="1">
      <alignment horizontal="center" vertical="center" wrapText="1"/>
    </xf>
    <xf numFmtId="9" fontId="5" fillId="7" borderId="1" xfId="11" applyFont="1" applyFill="1" applyBorder="1" applyAlignment="1">
      <alignment horizontal="center" vertical="center" wrapText="1"/>
    </xf>
    <xf numFmtId="0" fontId="6" fillId="7" borderId="1" xfId="0" applyFont="1" applyFill="1" applyBorder="1" applyAlignment="1">
      <alignment horizontal="center" vertical="center" wrapText="1"/>
    </xf>
    <xf numFmtId="0" fontId="9" fillId="7" borderId="1" xfId="11" applyNumberFormat="1" applyFont="1" applyFill="1" applyBorder="1" applyAlignment="1">
      <alignment horizontal="center" vertical="center" wrapText="1"/>
    </xf>
    <xf numFmtId="178" fontId="6" fillId="7" borderId="1" xfId="11" applyNumberFormat="1" applyFont="1" applyFill="1" applyBorder="1" applyAlignment="1">
      <alignment horizontal="center" vertical="center" wrapText="1"/>
    </xf>
    <xf numFmtId="0" fontId="9" fillId="5" borderId="1" xfId="11" applyNumberFormat="1" applyFont="1" applyFill="1" applyBorder="1" applyAlignment="1">
      <alignment horizontal="center" vertical="center" wrapText="1"/>
    </xf>
    <xf numFmtId="177" fontId="5" fillId="0" borderId="1" xfId="51" applyNumberFormat="1" applyFont="1" applyFill="1" applyBorder="1" applyAlignment="1">
      <alignment horizontal="center" vertical="center"/>
    </xf>
    <xf numFmtId="177" fontId="6" fillId="0" borderId="1" xfId="51" applyNumberFormat="1" applyFont="1" applyFill="1" applyBorder="1" applyAlignment="1">
      <alignment horizontal="left" vertical="center"/>
    </xf>
    <xf numFmtId="9" fontId="5" fillId="0" borderId="1" xfId="11" applyFont="1" applyFill="1" applyBorder="1" applyAlignment="1">
      <alignment horizontal="center" vertical="center" wrapText="1"/>
    </xf>
    <xf numFmtId="0" fontId="6" fillId="0" borderId="1" xfId="0" applyFont="1" applyFill="1" applyBorder="1" applyAlignment="1">
      <alignment horizontal="center" vertical="center" wrapText="1"/>
    </xf>
    <xf numFmtId="178" fontId="6" fillId="0" borderId="1" xfId="11" applyNumberFormat="1" applyFont="1" applyFill="1" applyBorder="1" applyAlignment="1">
      <alignment horizontal="center" vertical="center" wrapText="1"/>
    </xf>
    <xf numFmtId="0" fontId="6" fillId="7" borderId="1" xfId="11" applyNumberFormat="1" applyFont="1" applyFill="1" applyBorder="1" applyAlignment="1">
      <alignment horizontal="center" vertical="center" wrapText="1"/>
    </xf>
    <xf numFmtId="177" fontId="5" fillId="9" borderId="1" xfId="51" applyNumberFormat="1" applyFont="1" applyFill="1" applyBorder="1" applyAlignment="1">
      <alignment horizontal="center" vertical="center"/>
    </xf>
    <xf numFmtId="177" fontId="6" fillId="9" borderId="1" xfId="51" applyNumberFormat="1" applyFont="1" applyFill="1" applyBorder="1" applyAlignment="1">
      <alignment horizontal="left" vertical="center"/>
    </xf>
    <xf numFmtId="9" fontId="8" fillId="9" borderId="1" xfId="11" applyFont="1" applyFill="1" applyBorder="1" applyAlignment="1">
      <alignment horizontal="center" vertical="center" wrapText="1"/>
    </xf>
    <xf numFmtId="0" fontId="6" fillId="9" borderId="1" xfId="0" applyFont="1" applyFill="1" applyBorder="1" applyAlignment="1">
      <alignment horizontal="center" vertical="center" wrapText="1"/>
    </xf>
    <xf numFmtId="0" fontId="6" fillId="5" borderId="1" xfId="51" applyFont="1" applyFill="1" applyBorder="1" applyAlignment="1">
      <alignment horizontal="left" vertical="center"/>
    </xf>
    <xf numFmtId="49" fontId="6" fillId="5" borderId="1" xfId="55" applyNumberFormat="1" applyFont="1" applyFill="1" applyBorder="1" applyAlignment="1">
      <alignment horizontal="left" vertical="center"/>
    </xf>
    <xf numFmtId="0" fontId="6" fillId="2" borderId="1" xfId="51" applyFont="1" applyFill="1" applyBorder="1" applyAlignment="1">
      <alignment horizontal="left" vertical="center"/>
    </xf>
    <xf numFmtId="177" fontId="10" fillId="0" borderId="1" xfId="51" applyNumberFormat="1" applyFont="1" applyFill="1" applyBorder="1" applyAlignment="1">
      <alignment horizontal="center" vertical="center"/>
    </xf>
    <xf numFmtId="177" fontId="11" fillId="0" borderId="1" xfId="51" applyNumberFormat="1" applyFont="1" applyFill="1" applyBorder="1" applyAlignment="1">
      <alignment horizontal="left" vertical="center"/>
    </xf>
    <xf numFmtId="9" fontId="10" fillId="0" borderId="1" xfId="11" applyFont="1" applyFill="1" applyBorder="1" applyAlignment="1">
      <alignment horizontal="center" vertical="center" wrapText="1"/>
    </xf>
    <xf numFmtId="0" fontId="11" fillId="0" borderId="1" xfId="0" applyFont="1" applyFill="1" applyBorder="1" applyAlignment="1">
      <alignment horizontal="center" vertical="center" wrapText="1"/>
    </xf>
    <xf numFmtId="0" fontId="11" fillId="0" borderId="1" xfId="11" applyNumberFormat="1" applyFont="1" applyFill="1" applyBorder="1" applyAlignment="1">
      <alignment horizontal="center" vertical="center" wrapText="1"/>
    </xf>
    <xf numFmtId="0" fontId="6" fillId="6" borderId="1" xfId="0" applyFont="1" applyFill="1" applyBorder="1" applyAlignment="1">
      <alignment horizontal="center" vertical="center" wrapText="1"/>
    </xf>
    <xf numFmtId="9" fontId="5" fillId="10" borderId="1" xfId="11" applyFont="1" applyFill="1" applyBorder="1" applyAlignment="1">
      <alignment horizontal="center" vertical="center" wrapText="1"/>
    </xf>
    <xf numFmtId="0" fontId="6" fillId="10" borderId="1" xfId="0" applyFont="1" applyFill="1" applyBorder="1" applyAlignment="1">
      <alignment horizontal="center" vertical="center" wrapText="1"/>
    </xf>
    <xf numFmtId="9" fontId="8" fillId="0" borderId="1" xfId="11" applyFont="1" applyFill="1" applyBorder="1" applyAlignment="1">
      <alignment horizontal="center" vertical="center" wrapText="1"/>
    </xf>
    <xf numFmtId="178" fontId="9" fillId="6" borderId="1" xfId="11" applyNumberFormat="1" applyFont="1" applyFill="1" applyBorder="1" applyAlignment="1">
      <alignment horizontal="center" vertical="center" wrapText="1"/>
    </xf>
    <xf numFmtId="0" fontId="5" fillId="5" borderId="1" xfId="11" applyNumberFormat="1" applyFont="1" applyFill="1" applyBorder="1" applyAlignment="1">
      <alignment horizontal="center" vertical="center" wrapText="1"/>
    </xf>
    <xf numFmtId="0" fontId="6" fillId="5" borderId="1" xfId="55" applyFont="1" applyFill="1" applyBorder="1" applyAlignment="1">
      <alignment vertical="center"/>
    </xf>
    <xf numFmtId="0" fontId="12" fillId="5" borderId="1" xfId="0" applyFont="1" applyFill="1" applyBorder="1" applyAlignment="1">
      <alignment horizontal="center" vertical="center" wrapText="1"/>
    </xf>
    <xf numFmtId="0" fontId="13" fillId="5" borderId="1" xfId="0" applyFont="1" applyFill="1" applyBorder="1" applyAlignment="1">
      <alignment horizontal="center" vertical="center" wrapText="1"/>
    </xf>
    <xf numFmtId="0" fontId="14" fillId="0" borderId="1" xfId="0" applyFont="1" applyBorder="1" applyAlignment="1">
      <alignment horizontal="center" vertical="center"/>
    </xf>
    <xf numFmtId="0" fontId="7" fillId="0" borderId="1" xfId="0" applyFont="1" applyBorder="1">
      <alignment vertical="center"/>
    </xf>
    <xf numFmtId="0" fontId="0" fillId="0" borderId="1" xfId="0" applyBorder="1">
      <alignment vertical="center"/>
    </xf>
    <xf numFmtId="177" fontId="6" fillId="2" borderId="1" xfId="51" applyNumberFormat="1" applyFont="1" applyFill="1" applyBorder="1" applyAlignment="1">
      <alignment horizontal="center" vertical="center"/>
    </xf>
    <xf numFmtId="9" fontId="9" fillId="2" borderId="1" xfId="11" applyFont="1" applyFill="1" applyBorder="1" applyAlignment="1">
      <alignment horizontal="center" vertical="center" wrapText="1"/>
    </xf>
    <xf numFmtId="0" fontId="14" fillId="0" borderId="0" xfId="0" applyFont="1">
      <alignment vertical="center"/>
    </xf>
    <xf numFmtId="177" fontId="6" fillId="11" borderId="1" xfId="51" applyNumberFormat="1" applyFont="1" applyFill="1" applyBorder="1" applyAlignment="1">
      <alignment horizontal="center" vertical="center"/>
    </xf>
    <xf numFmtId="177" fontId="6" fillId="11" borderId="1" xfId="51" applyNumberFormat="1" applyFont="1" applyFill="1" applyBorder="1" applyAlignment="1">
      <alignment horizontal="left" vertical="center"/>
    </xf>
    <xf numFmtId="178" fontId="6" fillId="11" borderId="1" xfId="11" applyNumberFormat="1" applyFont="1" applyFill="1" applyBorder="1" applyAlignment="1">
      <alignment horizontal="center" vertical="center" wrapText="1"/>
    </xf>
    <xf numFmtId="177" fontId="6" fillId="12" borderId="1" xfId="51" applyNumberFormat="1" applyFont="1" applyFill="1" applyBorder="1" applyAlignment="1">
      <alignment horizontal="center" vertical="center"/>
    </xf>
    <xf numFmtId="177" fontId="6" fillId="12" borderId="1" xfId="51" applyNumberFormat="1" applyFont="1" applyFill="1" applyBorder="1" applyAlignment="1">
      <alignment horizontal="left" vertical="center"/>
    </xf>
    <xf numFmtId="9" fontId="9" fillId="12" borderId="1" xfId="11" applyFont="1" applyFill="1" applyBorder="1" applyAlignment="1">
      <alignment horizontal="center" vertical="center" wrapText="1"/>
    </xf>
    <xf numFmtId="0" fontId="9" fillId="12" borderId="1" xfId="11" applyNumberFormat="1" applyFont="1" applyFill="1" applyBorder="1" applyAlignment="1">
      <alignment horizontal="center" vertical="center" wrapText="1"/>
    </xf>
    <xf numFmtId="0" fontId="9" fillId="12" borderId="1" xfId="0" applyFont="1" applyFill="1" applyBorder="1" applyAlignment="1">
      <alignment horizontal="center" vertical="center" wrapText="1"/>
    </xf>
    <xf numFmtId="0" fontId="0" fillId="0" borderId="0" xfId="51" applyAlignment="1">
      <alignment horizontal="center"/>
    </xf>
    <xf numFmtId="0" fontId="15" fillId="0" borderId="0" xfId="0" applyFont="1" applyFill="1" applyAlignment="1"/>
    <xf numFmtId="0" fontId="0" fillId="0" borderId="0" xfId="0" applyFill="1" applyAlignment="1"/>
    <xf numFmtId="9" fontId="7" fillId="0" borderId="0" xfId="0" applyNumberFormat="1" applyFont="1">
      <alignment vertical="center"/>
    </xf>
    <xf numFmtId="0" fontId="4" fillId="3" borderId="1" xfId="51" applyFont="1" applyFill="1" applyBorder="1" applyAlignment="1">
      <alignment horizontal="center" vertical="center" wrapText="1"/>
    </xf>
    <xf numFmtId="0" fontId="4" fillId="3" borderId="1" xfId="0" applyFont="1" applyFill="1" applyBorder="1" applyAlignment="1">
      <alignment vertical="center" wrapText="1"/>
    </xf>
    <xf numFmtId="49" fontId="16" fillId="0" borderId="1" xfId="0" applyNumberFormat="1" applyFont="1" applyBorder="1">
      <alignment vertical="center"/>
    </xf>
    <xf numFmtId="0" fontId="16" fillId="0" borderId="1" xfId="0" applyFont="1" applyBorder="1" applyAlignment="1">
      <alignment horizontal="center" vertical="center"/>
    </xf>
    <xf numFmtId="49" fontId="16" fillId="13" borderId="1" xfId="0" applyNumberFormat="1" applyFont="1" applyFill="1" applyBorder="1">
      <alignment vertical="center"/>
    </xf>
    <xf numFmtId="0" fontId="16" fillId="0" borderId="1" xfId="0" applyFont="1" applyBorder="1" applyAlignment="1">
      <alignment horizontal="left" vertical="center"/>
    </xf>
    <xf numFmtId="9" fontId="17" fillId="3" borderId="1" xfId="0" applyNumberFormat="1" applyFont="1" applyFill="1" applyBorder="1" applyAlignment="1">
      <alignment horizontal="center" vertical="center" wrapText="1"/>
    </xf>
    <xf numFmtId="0" fontId="18" fillId="14" borderId="1" xfId="0" applyFont="1" applyFill="1" applyBorder="1" applyAlignment="1">
      <alignment horizontal="center" vertical="center"/>
    </xf>
    <xf numFmtId="9" fontId="19" fillId="14" borderId="1" xfId="0" applyNumberFormat="1" applyFont="1" applyFill="1" applyBorder="1" applyAlignment="1">
      <alignment horizontal="center" vertical="center"/>
    </xf>
    <xf numFmtId="0" fontId="16" fillId="15" borderId="1" xfId="0" applyFont="1" applyFill="1" applyBorder="1" applyAlignment="1">
      <alignment horizontal="center" vertical="center"/>
    </xf>
    <xf numFmtId="0" fontId="16" fillId="14" borderId="1" xfId="0" applyFont="1" applyFill="1" applyBorder="1" applyAlignment="1">
      <alignment horizontal="center" vertical="center"/>
    </xf>
    <xf numFmtId="0" fontId="16" fillId="16" borderId="1" xfId="0" applyFont="1" applyFill="1" applyBorder="1" applyAlignment="1">
      <alignment horizontal="center" vertical="center"/>
    </xf>
    <xf numFmtId="9" fontId="20" fillId="14" borderId="1" xfId="0" applyNumberFormat="1" applyFont="1" applyFill="1" applyBorder="1" applyAlignment="1">
      <alignment horizontal="center" vertical="center"/>
    </xf>
    <xf numFmtId="0" fontId="21" fillId="14" borderId="1" xfId="0" applyNumberFormat="1" applyFont="1" applyFill="1" applyBorder="1" applyAlignment="1">
      <alignment horizontal="center" vertical="center"/>
    </xf>
    <xf numFmtId="0" fontId="21" fillId="14" borderId="1" xfId="0" applyFont="1" applyFill="1" applyBorder="1" applyAlignment="1">
      <alignment horizontal="center" vertical="center"/>
    </xf>
    <xf numFmtId="49" fontId="18" fillId="0" borderId="0" xfId="0" applyNumberFormat="1" applyFont="1">
      <alignment vertical="center"/>
    </xf>
    <xf numFmtId="0" fontId="18" fillId="0" borderId="0" xfId="0" applyFont="1" applyAlignment="1">
      <alignment horizontal="center" vertical="center"/>
    </xf>
    <xf numFmtId="49" fontId="21" fillId="13" borderId="1" xfId="0" applyNumberFormat="1" applyFont="1" applyFill="1" applyBorder="1">
      <alignment vertical="center"/>
    </xf>
    <xf numFmtId="0" fontId="18" fillId="0" borderId="0" xfId="0" applyFont="1" applyAlignment="1">
      <alignment horizontal="left" vertical="center"/>
    </xf>
    <xf numFmtId="0" fontId="22" fillId="0" borderId="0" xfId="53" applyFont="1" applyAlignment="1">
      <alignment horizontal="left"/>
    </xf>
    <xf numFmtId="9" fontId="7" fillId="0" borderId="1" xfId="0" applyNumberFormat="1" applyFont="1" applyBorder="1">
      <alignment vertical="center"/>
    </xf>
    <xf numFmtId="9" fontId="16" fillId="0" borderId="1" xfId="0" applyNumberFormat="1" applyFont="1" applyFill="1" applyBorder="1" applyAlignment="1">
      <alignment horizontal="center" vertical="center"/>
    </xf>
    <xf numFmtId="9" fontId="7" fillId="0" borderId="1" xfId="0" applyNumberFormat="1" applyFont="1" applyFill="1" applyBorder="1" applyAlignment="1"/>
    <xf numFmtId="0" fontId="12" fillId="0" borderId="0" xfId="0" applyFont="1" applyFill="1" applyAlignment="1"/>
    <xf numFmtId="177" fontId="16" fillId="0" borderId="1" xfId="0" applyNumberFormat="1" applyFont="1" applyFill="1" applyBorder="1" applyAlignment="1">
      <alignment horizontal="center" vertical="center"/>
    </xf>
    <xf numFmtId="9" fontId="0" fillId="0" borderId="0" xfId="0" applyNumberFormat="1">
      <alignment vertical="center"/>
    </xf>
    <xf numFmtId="0" fontId="7" fillId="0" borderId="0" xfId="53" applyFont="1" applyProtection="1">
      <alignment vertical="center"/>
      <protection locked="0"/>
    </xf>
    <xf numFmtId="0" fontId="23" fillId="0" borderId="0" xfId="53" applyFont="1" applyProtection="1">
      <alignment vertical="center"/>
      <protection locked="0"/>
    </xf>
    <xf numFmtId="0" fontId="24" fillId="0" borderId="0" xfId="53" applyFont="1" applyAlignment="1" applyProtection="1">
      <alignment horizontal="center" vertical="center"/>
      <protection locked="0"/>
    </xf>
    <xf numFmtId="0" fontId="25" fillId="0" borderId="0" xfId="53" applyFont="1" applyAlignment="1">
      <alignment horizontal="center" vertical="center"/>
    </xf>
    <xf numFmtId="0" fontId="20" fillId="13" borderId="0" xfId="53" applyFont="1" applyFill="1" applyAlignment="1">
      <alignment horizontal="center" vertical="center"/>
    </xf>
    <xf numFmtId="0" fontId="23" fillId="13" borderId="0" xfId="53" applyFont="1" applyFill="1" applyAlignment="1">
      <alignment horizontal="center" vertical="center"/>
    </xf>
    <xf numFmtId="0" fontId="23" fillId="13" borderId="0" xfId="53" applyFont="1" applyFill="1" applyAlignment="1">
      <alignment horizontal="center" vertical="center" wrapText="1"/>
    </xf>
    <xf numFmtId="0" fontId="26" fillId="0" borderId="2" xfId="53" applyFont="1" applyBorder="1" applyAlignment="1">
      <alignment horizontal="center" vertical="top" wrapText="1"/>
    </xf>
    <xf numFmtId="0" fontId="27" fillId="0" borderId="3" xfId="53" applyFont="1" applyBorder="1" applyAlignment="1">
      <alignment horizontal="center" vertical="center" wrapText="1"/>
    </xf>
    <xf numFmtId="0" fontId="28" fillId="0" borderId="3" xfId="53" applyFont="1" applyBorder="1" applyAlignment="1">
      <alignment horizontal="center" vertical="center" wrapText="1"/>
    </xf>
    <xf numFmtId="0" fontId="29" fillId="0" borderId="4" xfId="53" applyFont="1" applyBorder="1" applyAlignment="1" applyProtection="1">
      <alignment horizontal="center" vertical="center"/>
      <protection locked="0"/>
    </xf>
    <xf numFmtId="0" fontId="23" fillId="0" borderId="5" xfId="53" applyFont="1" applyBorder="1" applyAlignment="1" applyProtection="1">
      <alignment horizontal="center" vertical="center" wrapText="1"/>
      <protection locked="0"/>
    </xf>
    <xf numFmtId="14" fontId="30" fillId="0" borderId="1" xfId="53" applyNumberFormat="1" applyFont="1" applyBorder="1" applyAlignment="1" applyProtection="1">
      <alignment horizontal="center" vertical="center" wrapText="1"/>
      <protection locked="0"/>
    </xf>
    <xf numFmtId="0" fontId="30" fillId="0" borderId="1" xfId="53" applyFont="1" applyBorder="1" applyAlignment="1" applyProtection="1">
      <alignment horizontal="center" vertical="center" wrapText="1"/>
      <protection locked="0"/>
    </xf>
    <xf numFmtId="0" fontId="29" fillId="0" borderId="6" xfId="53" applyFont="1" applyBorder="1" applyAlignment="1" applyProtection="1">
      <alignment horizontal="center" vertical="center"/>
      <protection locked="0"/>
    </xf>
    <xf numFmtId="0" fontId="23" fillId="0" borderId="7" xfId="53" applyFont="1" applyBorder="1" applyAlignment="1" applyProtection="1">
      <alignment horizontal="center" vertical="center" wrapText="1"/>
      <protection locked="0"/>
    </xf>
    <xf numFmtId="0" fontId="23" fillId="0" borderId="8" xfId="53" applyFont="1" applyBorder="1" applyAlignment="1" applyProtection="1">
      <alignment horizontal="center" vertical="center" wrapText="1"/>
      <protection locked="0"/>
    </xf>
    <xf numFmtId="0" fontId="31" fillId="0" borderId="9" xfId="53" applyFont="1" applyBorder="1" applyAlignment="1" applyProtection="1">
      <alignment horizontal="center" vertical="center"/>
      <protection locked="0"/>
    </xf>
    <xf numFmtId="0" fontId="31" fillId="0" borderId="10" xfId="53" applyFont="1" applyBorder="1" applyAlignment="1" applyProtection="1">
      <alignment horizontal="center" vertical="center"/>
      <protection locked="0"/>
    </xf>
    <xf numFmtId="0" fontId="23" fillId="0" borderId="11" xfId="53" applyFont="1" applyBorder="1" applyAlignment="1" applyProtection="1">
      <alignment horizontal="center" vertical="center" wrapText="1"/>
      <protection locked="0"/>
    </xf>
    <xf numFmtId="0" fontId="31" fillId="0" borderId="12" xfId="53" applyFont="1" applyBorder="1" applyAlignment="1">
      <alignment horizontal="center" vertical="center" wrapText="1"/>
    </xf>
    <xf numFmtId="0" fontId="31" fillId="0" borderId="13" xfId="53" applyFont="1" applyBorder="1" applyAlignment="1" applyProtection="1">
      <alignment horizontal="center" vertical="center"/>
      <protection locked="0"/>
    </xf>
    <xf numFmtId="0" fontId="31" fillId="0" borderId="13" xfId="53" applyFont="1" applyBorder="1" applyAlignment="1">
      <alignment horizontal="center" vertical="center" wrapText="1"/>
    </xf>
    <xf numFmtId="0" fontId="32" fillId="0" borderId="13" xfId="53" applyFont="1" applyBorder="1" applyAlignment="1">
      <alignment horizontal="center" vertical="center" wrapText="1"/>
    </xf>
    <xf numFmtId="0" fontId="23" fillId="0" borderId="13" xfId="53" applyFont="1" applyBorder="1" applyAlignment="1" applyProtection="1">
      <alignment horizontal="center" vertical="center"/>
      <protection locked="0"/>
    </xf>
    <xf numFmtId="0" fontId="31" fillId="0" borderId="0" xfId="53" applyFont="1" applyAlignment="1" applyProtection="1">
      <alignment horizontal="center" vertical="center" wrapText="1"/>
      <protection locked="0"/>
    </xf>
    <xf numFmtId="0" fontId="20" fillId="13" borderId="0" xfId="53" applyFont="1" applyFill="1" applyAlignment="1">
      <alignment horizontal="center" vertical="center" wrapText="1"/>
    </xf>
    <xf numFmtId="0" fontId="28" fillId="0" borderId="14" xfId="53" applyFont="1" applyBorder="1" applyAlignment="1">
      <alignment horizontal="center" vertical="center" wrapText="1"/>
    </xf>
    <xf numFmtId="0" fontId="30" fillId="0" borderId="1" xfId="53" applyFont="1" applyBorder="1" applyAlignment="1" applyProtection="1">
      <alignment horizontal="center" vertical="center"/>
      <protection locked="0"/>
    </xf>
    <xf numFmtId="9" fontId="30" fillId="0" borderId="1" xfId="11" applyFont="1" applyFill="1" applyBorder="1" applyAlignment="1" applyProtection="1">
      <alignment horizontal="center" vertical="center" wrapText="1"/>
      <protection locked="0"/>
    </xf>
    <xf numFmtId="43" fontId="30" fillId="0" borderId="1" xfId="54" applyFont="1" applyFill="1" applyBorder="1" applyAlignment="1" applyProtection="1">
      <alignment horizontal="center" vertical="center" wrapText="1"/>
      <protection locked="0"/>
    </xf>
    <xf numFmtId="0" fontId="30" fillId="0" borderId="15" xfId="53" applyFont="1" applyBorder="1" applyAlignment="1" applyProtection="1">
      <alignment horizontal="center" vertical="center"/>
      <protection locked="0"/>
    </xf>
    <xf numFmtId="0" fontId="29" fillId="0" borderId="16" xfId="53" applyFont="1" applyBorder="1" applyAlignment="1" applyProtection="1">
      <alignment horizontal="center" vertical="center"/>
      <protection locked="0"/>
    </xf>
    <xf numFmtId="14" fontId="30" fillId="0" borderId="17" xfId="53" applyNumberFormat="1" applyFont="1" applyBorder="1" applyAlignment="1" applyProtection="1">
      <alignment horizontal="center" vertical="center" wrapText="1"/>
      <protection locked="0"/>
    </xf>
    <xf numFmtId="0" fontId="30" fillId="0" borderId="17" xfId="53" applyFont="1" applyBorder="1" applyAlignment="1" applyProtection="1">
      <alignment horizontal="center" vertical="center"/>
      <protection locked="0"/>
    </xf>
    <xf numFmtId="0" fontId="30" fillId="0" borderId="17" xfId="53" applyFont="1" applyBorder="1" applyAlignment="1" applyProtection="1">
      <alignment horizontal="center" vertical="center" wrapText="1"/>
      <protection locked="0"/>
    </xf>
    <xf numFmtId="9" fontId="30" fillId="0" borderId="17" xfId="11" applyFont="1" applyFill="1" applyBorder="1" applyAlignment="1" applyProtection="1">
      <alignment horizontal="center" vertical="center" wrapText="1"/>
      <protection locked="0"/>
    </xf>
    <xf numFmtId="0" fontId="30" fillId="0" borderId="18" xfId="53" applyFont="1" applyBorder="1" applyAlignment="1" applyProtection="1">
      <alignment horizontal="center" vertical="center"/>
      <protection locked="0"/>
    </xf>
    <xf numFmtId="9" fontId="30" fillId="0" borderId="17" xfId="11" applyNumberFormat="1" applyFont="1" applyFill="1" applyBorder="1" applyAlignment="1" applyProtection="1">
      <alignment horizontal="center" vertical="center" wrapText="1"/>
      <protection locked="0"/>
    </xf>
    <xf numFmtId="9" fontId="30" fillId="0" borderId="11" xfId="11" applyFont="1" applyFill="1" applyBorder="1" applyAlignment="1" applyProtection="1">
      <alignment horizontal="center" vertical="center" wrapText="1"/>
      <protection locked="0"/>
    </xf>
    <xf numFmtId="43" fontId="23" fillId="0" borderId="11" xfId="54" applyFont="1" applyFill="1" applyBorder="1" applyAlignment="1" applyProtection="1">
      <alignment horizontal="center" vertical="center" wrapText="1"/>
      <protection locked="0"/>
    </xf>
    <xf numFmtId="179" fontId="23" fillId="0" borderId="10" xfId="53" applyNumberFormat="1" applyFont="1" applyBorder="1" applyAlignment="1" applyProtection="1">
      <alignment horizontal="center" vertical="center" wrapText="1"/>
      <protection locked="0"/>
    </xf>
    <xf numFmtId="0" fontId="28" fillId="0" borderId="0" xfId="53" applyFont="1" applyAlignment="1" applyProtection="1">
      <alignment horizontal="center" vertical="center" wrapText="1"/>
      <protection locked="0"/>
    </xf>
    <xf numFmtId="0" fontId="30" fillId="0" borderId="0" xfId="53" applyFont="1" applyAlignment="1" applyProtection="1">
      <alignment horizontal="center" vertical="center" wrapText="1"/>
      <protection locked="0"/>
    </xf>
    <xf numFmtId="179" fontId="30" fillId="0" borderId="0" xfId="53" applyNumberFormat="1" applyFont="1" applyAlignment="1" applyProtection="1">
      <alignment horizontal="center" vertical="center" wrapText="1"/>
      <protection locked="0"/>
    </xf>
    <xf numFmtId="0" fontId="27" fillId="0" borderId="12" xfId="53" applyFont="1" applyBorder="1" applyAlignment="1">
      <alignment horizontal="center" vertical="center" wrapText="1"/>
    </xf>
    <xf numFmtId="0" fontId="23" fillId="0" borderId="13" xfId="0" applyFont="1" applyFill="1" applyBorder="1" applyAlignment="1" applyProtection="1">
      <alignment horizontal="center" vertical="center"/>
      <protection locked="0"/>
    </xf>
    <xf numFmtId="0" fontId="27" fillId="0" borderId="13" xfId="53" applyFont="1" applyBorder="1" applyAlignment="1">
      <alignment horizontal="center" vertical="center" wrapText="1"/>
    </xf>
    <xf numFmtId="0" fontId="28" fillId="0" borderId="0" xfId="53" applyFont="1" applyAlignment="1" applyProtection="1">
      <alignment horizontal="left" vertical="center"/>
      <protection locked="0"/>
    </xf>
    <xf numFmtId="0" fontId="23" fillId="0" borderId="0" xfId="53" applyFont="1" applyAlignment="1" applyProtection="1">
      <alignment vertical="center" wrapText="1"/>
      <protection locked="0"/>
    </xf>
    <xf numFmtId="0" fontId="30" fillId="0" borderId="0" xfId="53" applyFont="1" applyAlignment="1" applyProtection="1">
      <alignment horizontal="left" vertical="center"/>
      <protection locked="0"/>
    </xf>
    <xf numFmtId="0" fontId="33" fillId="13" borderId="0" xfId="53" applyFont="1" applyFill="1" applyAlignment="1">
      <alignment horizontal="center" vertical="center" wrapText="1"/>
    </xf>
    <xf numFmtId="0" fontId="25" fillId="17" borderId="0" xfId="53" applyFont="1" applyFill="1" applyAlignment="1">
      <alignment horizontal="center" vertical="center"/>
    </xf>
    <xf numFmtId="0" fontId="34" fillId="0" borderId="14" xfId="53" applyFont="1" applyBorder="1" applyAlignment="1">
      <alignment horizontal="center" vertical="center" wrapText="1"/>
    </xf>
    <xf numFmtId="0" fontId="26" fillId="17" borderId="2" xfId="53" applyFont="1" applyFill="1" applyBorder="1" applyAlignment="1">
      <alignment horizontal="center" vertical="center" wrapText="1"/>
    </xf>
    <xf numFmtId="0" fontId="29" fillId="17" borderId="4" xfId="53" applyFont="1" applyFill="1" applyBorder="1" applyAlignment="1" applyProtection="1">
      <alignment horizontal="center" vertical="center"/>
      <protection locked="0"/>
    </xf>
    <xf numFmtId="0" fontId="29" fillId="17" borderId="6" xfId="53" applyFont="1" applyFill="1" applyBorder="1" applyAlignment="1" applyProtection="1">
      <alignment horizontal="center" vertical="center"/>
      <protection locked="0"/>
    </xf>
    <xf numFmtId="43" fontId="23" fillId="0" borderId="10" xfId="54" applyFont="1" applyFill="1" applyBorder="1" applyAlignment="1" applyProtection="1">
      <alignment horizontal="center" vertical="center" wrapText="1"/>
      <protection locked="0"/>
    </xf>
    <xf numFmtId="0" fontId="31" fillId="17" borderId="9" xfId="53" applyFont="1" applyFill="1" applyBorder="1" applyAlignment="1" applyProtection="1">
      <alignment horizontal="center" vertical="center"/>
      <protection locked="0"/>
    </xf>
    <xf numFmtId="0" fontId="23" fillId="0" borderId="19" xfId="53" applyFont="1" applyBorder="1" applyAlignment="1" applyProtection="1">
      <alignment horizontal="center" vertical="center" wrapText="1"/>
      <protection locked="0"/>
    </xf>
    <xf numFmtId="0" fontId="31" fillId="0" borderId="0" xfId="53" applyFont="1" applyAlignment="1" applyProtection="1">
      <alignment horizontal="center" vertical="center"/>
      <protection locked="0"/>
    </xf>
    <xf numFmtId="0" fontId="28" fillId="17" borderId="3" xfId="53" applyFont="1" applyFill="1" applyBorder="1" applyAlignment="1">
      <alignment horizontal="center" vertical="center" wrapText="1"/>
    </xf>
    <xf numFmtId="0" fontId="28" fillId="17" borderId="20" xfId="53" applyFont="1" applyFill="1" applyBorder="1" applyAlignment="1">
      <alignment horizontal="center" vertical="center" wrapText="1"/>
    </xf>
    <xf numFmtId="14" fontId="30" fillId="17" borderId="1" xfId="53" applyNumberFormat="1" applyFont="1" applyFill="1" applyBorder="1" applyAlignment="1" applyProtection="1">
      <alignment horizontal="center" vertical="center" wrapText="1"/>
      <protection locked="0"/>
    </xf>
    <xf numFmtId="0" fontId="30" fillId="17" borderId="1" xfId="53" applyFont="1" applyFill="1" applyBorder="1" applyAlignment="1" applyProtection="1">
      <alignment horizontal="center" vertical="center"/>
      <protection locked="0"/>
    </xf>
    <xf numFmtId="0" fontId="30" fillId="17" borderId="1" xfId="53" applyFont="1" applyFill="1" applyBorder="1" applyAlignment="1" applyProtection="1">
      <alignment horizontal="center" vertical="center" wrapText="1"/>
      <protection locked="0"/>
    </xf>
    <xf numFmtId="43" fontId="30" fillId="17" borderId="1" xfId="54" applyFont="1" applyFill="1" applyBorder="1" applyAlignment="1" applyProtection="1">
      <alignment horizontal="center" vertical="center" wrapText="1"/>
      <protection locked="0"/>
    </xf>
    <xf numFmtId="0" fontId="30" fillId="17" borderId="15" xfId="53" applyFont="1" applyFill="1" applyBorder="1" applyAlignment="1" applyProtection="1">
      <alignment horizontal="center" vertical="center"/>
      <protection locked="0"/>
    </xf>
    <xf numFmtId="0" fontId="29" fillId="17" borderId="16" xfId="53" applyFont="1" applyFill="1" applyBorder="1" applyAlignment="1" applyProtection="1">
      <alignment horizontal="center" vertical="center"/>
      <protection locked="0"/>
    </xf>
    <xf numFmtId="14" fontId="30" fillId="17" borderId="17" xfId="53" applyNumberFormat="1" applyFont="1" applyFill="1" applyBorder="1" applyAlignment="1" applyProtection="1">
      <alignment horizontal="center" vertical="center" wrapText="1"/>
      <protection locked="0"/>
    </xf>
    <xf numFmtId="0" fontId="30" fillId="17" borderId="17" xfId="53" applyFont="1" applyFill="1" applyBorder="1" applyAlignment="1" applyProtection="1">
      <alignment horizontal="center" vertical="center"/>
      <protection locked="0"/>
    </xf>
    <xf numFmtId="0" fontId="30" fillId="17" borderId="17" xfId="53" applyFont="1" applyFill="1" applyBorder="1" applyAlignment="1" applyProtection="1">
      <alignment horizontal="center" vertical="center" wrapText="1"/>
      <protection locked="0"/>
    </xf>
    <xf numFmtId="43" fontId="30" fillId="17" borderId="17" xfId="54" applyFont="1" applyFill="1" applyBorder="1" applyAlignment="1" applyProtection="1">
      <alignment horizontal="center" vertical="center" wrapText="1"/>
      <protection locked="0"/>
    </xf>
    <xf numFmtId="0" fontId="30" fillId="17" borderId="21" xfId="53" applyFont="1" applyFill="1" applyBorder="1" applyAlignment="1" applyProtection="1">
      <alignment horizontal="center" vertical="center"/>
      <protection locked="0"/>
    </xf>
    <xf numFmtId="0" fontId="23" fillId="17" borderId="11" xfId="53" applyFont="1" applyFill="1" applyBorder="1" applyAlignment="1" applyProtection="1">
      <alignment horizontal="center" vertical="center" wrapText="1"/>
      <protection locked="0"/>
    </xf>
    <xf numFmtId="179" fontId="23" fillId="17" borderId="11" xfId="53" applyNumberFormat="1" applyFont="1" applyFill="1" applyBorder="1" applyAlignment="1" applyProtection="1">
      <alignment horizontal="center" vertical="center" wrapText="1"/>
      <protection locked="0"/>
    </xf>
    <xf numFmtId="43" fontId="23" fillId="17" borderId="11" xfId="54" applyFont="1" applyFill="1" applyBorder="1" applyAlignment="1" applyProtection="1">
      <alignment horizontal="center" vertical="center" wrapText="1"/>
      <protection locked="0"/>
    </xf>
    <xf numFmtId="179" fontId="23" fillId="17" borderId="22" xfId="53" applyNumberFormat="1" applyFont="1" applyFill="1" applyBorder="1" applyAlignment="1" applyProtection="1">
      <alignment horizontal="center" vertical="center" wrapText="1"/>
      <protection locked="0"/>
    </xf>
    <xf numFmtId="0" fontId="28" fillId="0" borderId="0" xfId="53" applyFont="1" applyAlignment="1" applyProtection="1">
      <alignment horizontal="center" vertical="center"/>
      <protection locked="0"/>
    </xf>
    <xf numFmtId="0" fontId="31" fillId="0" borderId="0" xfId="53" applyFont="1" applyAlignment="1" applyProtection="1">
      <alignment vertical="center" wrapText="1"/>
      <protection locked="0"/>
    </xf>
    <xf numFmtId="0" fontId="35" fillId="0" borderId="0" xfId="53" applyFont="1" applyAlignment="1" applyProtection="1">
      <alignment horizontal="center" vertical="center"/>
      <protection locked="0"/>
    </xf>
    <xf numFmtId="0" fontId="27" fillId="17" borderId="14" xfId="53" applyFont="1" applyFill="1" applyBorder="1" applyAlignment="1">
      <alignment horizontal="center" vertical="center" wrapText="1"/>
    </xf>
    <xf numFmtId="0" fontId="23" fillId="17" borderId="5" xfId="53" applyFont="1" applyFill="1" applyBorder="1" applyAlignment="1" applyProtection="1">
      <alignment horizontal="center" vertical="center" wrapText="1"/>
      <protection locked="0"/>
    </xf>
    <xf numFmtId="9" fontId="30" fillId="17" borderId="1" xfId="11" applyNumberFormat="1" applyFont="1" applyFill="1" applyBorder="1" applyAlignment="1" applyProtection="1">
      <alignment horizontal="center" vertical="center" wrapText="1"/>
      <protection locked="0"/>
    </xf>
    <xf numFmtId="0" fontId="23" fillId="17" borderId="7" xfId="53" applyFont="1" applyFill="1" applyBorder="1" applyAlignment="1" applyProtection="1">
      <alignment horizontal="center" vertical="center" wrapText="1"/>
      <protection locked="0"/>
    </xf>
    <xf numFmtId="0" fontId="23" fillId="17" borderId="10" xfId="53" applyFont="1" applyFill="1" applyBorder="1" applyAlignment="1" applyProtection="1">
      <alignment horizontal="center" vertical="center"/>
      <protection locked="0"/>
    </xf>
    <xf numFmtId="0" fontId="34" fillId="17" borderId="14" xfId="53" applyFont="1" applyFill="1" applyBorder="1" applyAlignment="1">
      <alignment horizontal="center" vertical="center" wrapText="1"/>
    </xf>
    <xf numFmtId="0" fontId="28" fillId="17" borderId="14" xfId="53" applyFont="1" applyFill="1" applyBorder="1" applyAlignment="1">
      <alignment horizontal="center" vertical="center" wrapText="1"/>
    </xf>
    <xf numFmtId="0" fontId="28" fillId="17" borderId="23" xfId="53" applyFont="1" applyFill="1" applyBorder="1" applyAlignment="1">
      <alignment horizontal="center" vertical="center" wrapText="1"/>
    </xf>
    <xf numFmtId="9" fontId="30" fillId="17" borderId="1" xfId="53" applyNumberFormat="1" applyFont="1" applyFill="1" applyBorder="1" applyAlignment="1" applyProtection="1">
      <alignment horizontal="center" vertical="center" wrapText="1"/>
      <protection locked="0"/>
    </xf>
    <xf numFmtId="43" fontId="23" fillId="17" borderId="10" xfId="54" applyFont="1" applyFill="1" applyBorder="1" applyAlignment="1" applyProtection="1">
      <alignment horizontal="center" vertical="center" wrapText="1"/>
      <protection locked="0"/>
    </xf>
    <xf numFmtId="0" fontId="23" fillId="17" borderId="10" xfId="53" applyFont="1" applyFill="1" applyBorder="1" applyAlignment="1" applyProtection="1">
      <alignment horizontal="center" vertical="center" wrapText="1"/>
      <protection locked="0"/>
    </xf>
    <xf numFmtId="179" fontId="23" fillId="17" borderId="24" xfId="53" applyNumberFormat="1" applyFont="1" applyFill="1" applyBorder="1" applyAlignment="1" applyProtection="1">
      <alignment horizontal="center" vertical="center" wrapText="1"/>
      <protection locked="0"/>
    </xf>
    <xf numFmtId="0" fontId="23" fillId="0" borderId="13" xfId="0" applyFont="1" applyFill="1" applyBorder="1" applyAlignment="1" applyProtection="1" quotePrefix="1">
      <alignment horizontal="center" vertical="center"/>
      <protection locked="0"/>
    </xf>
  </cellXfs>
  <cellStyles count="56">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常规 82" xfId="21"/>
    <cellStyle name="60% - 强调文字颜色 1" xfId="22" builtinId="32"/>
    <cellStyle name="标题 3" xfId="23" builtinId="18"/>
    <cellStyle name="60% - 强调文字颜色 4" xfId="24" builtinId="44"/>
    <cellStyle name="输出" xfId="25" builtinId="21"/>
    <cellStyle name="计算" xfId="26" builtinId="22"/>
    <cellStyle name="检查单元格" xfId="27" builtinId="23"/>
    <cellStyle name="20% - 强调文字颜色 6" xfId="28" builtinId="50"/>
    <cellStyle name="强调文字颜色 2" xfId="29" builtinId="33"/>
    <cellStyle name="链接单元格" xfId="30" builtinId="24"/>
    <cellStyle name="汇总" xfId="31" builtinId="25"/>
    <cellStyle name="好" xfId="32" builtinId="26"/>
    <cellStyle name="适中" xfId="33" builtinId="28"/>
    <cellStyle name="20% - 强调文字颜色 5" xfId="34" builtinId="46"/>
    <cellStyle name="强调文字颜色 1" xfId="35" builtinId="29"/>
    <cellStyle name="20% - 强调文字颜色 1" xfId="36" builtinId="30"/>
    <cellStyle name="40% - 强调文字颜色 1" xfId="37" builtinId="31"/>
    <cellStyle name="20% - 强调文字颜色 2" xfId="38" builtinId="34"/>
    <cellStyle name="40% - 强调文字颜色 2" xfId="39" builtinId="35"/>
    <cellStyle name="强调文字颜色 3" xfId="40" builtinId="37"/>
    <cellStyle name="强调文字颜色 4" xfId="41" builtinId="41"/>
    <cellStyle name="20% - 强调文字颜色 4" xfId="42" builtinId="42"/>
    <cellStyle name="40% - 强调文字颜色 4" xfId="43" builtinId="43"/>
    <cellStyle name="强调文字颜色 5" xfId="44" builtinId="45"/>
    <cellStyle name="40% - 强调文字颜色 5" xfId="45" builtinId="47"/>
    <cellStyle name="60% - 强调文字颜色 5" xfId="46" builtinId="48"/>
    <cellStyle name="强调文字颜色 6" xfId="47" builtinId="49"/>
    <cellStyle name="40% - 强调文字颜色 6" xfId="48" builtinId="51"/>
    <cellStyle name="60% - 强调文字颜色 6" xfId="49" builtinId="52"/>
    <cellStyle name="百分比 2 2 2 2" xfId="50"/>
    <cellStyle name="常规 3" xfId="51"/>
    <cellStyle name="常规 3 3 4" xfId="52"/>
    <cellStyle name="常规 3 7" xfId="53"/>
    <cellStyle name="千位分隔 2" xfId="54"/>
    <cellStyle name="常规 11" xfId="55"/>
  </cellStyles>
  <dxfs count="4">
    <dxf>
      <font>
        <strike val="0"/>
      </font>
      <fill>
        <patternFill patternType="gray0625">
          <bgColor theme="0" tint="-0.14981536301767"/>
        </patternFill>
      </fill>
      <border>
        <left style="thin">
          <color auto="1"/>
        </left>
        <right style="thin">
          <color auto="1"/>
        </right>
        <top style="thin">
          <color auto="1"/>
        </top>
        <bottom style="thin">
          <color auto="1"/>
        </bottom>
      </border>
    </dxf>
    <dxf>
      <fill>
        <patternFill patternType="solid">
          <bgColor theme="5" tint="0.599963377788629"/>
        </patternFill>
      </fill>
    </dxf>
    <dxf>
      <fill>
        <patternFill patternType="gray0625">
          <bgColor theme="0" tint="-0.149754325998718"/>
        </patternFill>
      </fill>
    </dxf>
    <dxf>
      <font>
        <color rgb="FF9C0006"/>
      </font>
      <fill>
        <patternFill patternType="solid">
          <bgColor rgb="FFFFC7CE"/>
        </patternFill>
      </fill>
    </dxf>
  </dxfs>
  <tableStyles count="0" defaultTableStyle="TableStyleMedium2" defaultPivotStyle="PivotStyleLight16"/>
  <colors>
    <mruColors>
      <color rgb="00FFFFCC"/>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haredStrings" Target="sharedStrings.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dimension ref="A1:AF34"/>
  <sheetViews>
    <sheetView showGridLines="0" tabSelected="1" topLeftCell="E1" workbookViewId="0">
      <selection activeCell="M11" sqref="M11"/>
    </sheetView>
  </sheetViews>
  <sheetFormatPr defaultColWidth="9" defaultRowHeight="16.5"/>
  <cols>
    <col min="1" max="1" width="17" style="115" customWidth="1"/>
    <col min="2" max="2" width="15.8333333333333" style="115" customWidth="1"/>
    <col min="3" max="3" width="14.125" style="115" customWidth="1"/>
    <col min="4" max="4" width="13" style="115" customWidth="1"/>
    <col min="5" max="5" width="15.1666666666667" style="115" customWidth="1"/>
    <col min="6" max="6" width="13.625" style="115" customWidth="1"/>
    <col min="7" max="7" width="11.0833333333333" style="115" customWidth="1"/>
    <col min="8" max="8" width="13" style="115" customWidth="1"/>
    <col min="9" max="9" width="11.5833333333333" style="115" customWidth="1"/>
    <col min="10" max="10" width="12.5833333333333" style="115" customWidth="1"/>
    <col min="11" max="11" width="12.75" style="115" customWidth="1"/>
    <col min="12" max="12" width="15.8333333333333" style="115" customWidth="1"/>
    <col min="13" max="13" width="14.125" style="115" customWidth="1"/>
    <col min="14" max="14" width="12.8333333333333" style="115" customWidth="1"/>
    <col min="15" max="15" width="12.6666666666667" style="115" customWidth="1"/>
    <col min="16" max="16" width="18.75" style="115" customWidth="1"/>
    <col min="17" max="17" width="16.4166666666667" style="116" customWidth="1"/>
    <col min="18" max="18" width="15.75" style="115" customWidth="1"/>
    <col min="19" max="19" width="14.6666666666667" style="115" customWidth="1"/>
    <col min="20" max="20" width="12.25" style="115" customWidth="1"/>
    <col min="21" max="21" width="12.75" style="115" customWidth="1"/>
    <col min="22" max="22" width="12.125" style="115" customWidth="1"/>
    <col min="23" max="23" width="13.4166666666667" style="115" customWidth="1"/>
    <col min="24" max="24" width="8.16666666666667" style="115" customWidth="1"/>
    <col min="25" max="25" width="12.5" style="115" customWidth="1"/>
    <col min="26" max="26" width="9.25" style="115" customWidth="1"/>
    <col min="27" max="27" width="11.625" style="115" customWidth="1"/>
    <col min="28" max="28" width="10.25" style="115" customWidth="1"/>
    <col min="29" max="29" width="15.25" style="115" customWidth="1"/>
    <col min="30" max="30" width="14.375" style="115" customWidth="1"/>
    <col min="31" max="31" width="12.6666666666667" style="115" customWidth="1"/>
    <col min="32" max="32" width="12.4166666666667" style="115" customWidth="1"/>
    <col min="33" max="16384" width="9" style="115"/>
  </cols>
  <sheetData>
    <row r="1" ht="30" customHeight="1" spans="1:22">
      <c r="A1" s="117" t="s">
        <v>0</v>
      </c>
      <c r="B1" s="117"/>
      <c r="C1" s="117"/>
      <c r="D1" s="117"/>
      <c r="E1" s="117"/>
      <c r="F1" s="117"/>
      <c r="G1" s="117"/>
      <c r="H1" s="117"/>
      <c r="I1" s="117"/>
      <c r="J1" s="117"/>
      <c r="K1" s="117"/>
      <c r="L1" s="117"/>
      <c r="M1" s="117"/>
      <c r="N1" s="117"/>
      <c r="O1" s="117"/>
      <c r="P1" s="117"/>
      <c r="Q1" s="195"/>
      <c r="R1" s="117"/>
      <c r="S1" s="117"/>
      <c r="T1" s="117"/>
      <c r="U1" s="117"/>
      <c r="V1" s="117"/>
    </row>
    <row r="2" ht="33" customHeight="1" spans="1:32">
      <c r="A2" s="118" t="s">
        <v>1</v>
      </c>
      <c r="B2" s="119" t="s">
        <v>2</v>
      </c>
      <c r="C2" s="120" t="s">
        <v>3</v>
      </c>
      <c r="D2" s="119" t="s">
        <v>4</v>
      </c>
      <c r="E2" s="121" t="s">
        <v>5</v>
      </c>
      <c r="F2" s="120" t="s">
        <v>6</v>
      </c>
      <c r="G2" s="120" t="s">
        <v>3</v>
      </c>
      <c r="H2" s="120" t="s">
        <v>6</v>
      </c>
      <c r="I2" s="120" t="s">
        <v>3</v>
      </c>
      <c r="J2" s="120" t="s">
        <v>6</v>
      </c>
      <c r="K2" s="119" t="s">
        <v>2</v>
      </c>
      <c r="L2" s="120" t="s">
        <v>3</v>
      </c>
      <c r="M2" s="120" t="s">
        <v>6</v>
      </c>
      <c r="N2" s="120" t="s">
        <v>6</v>
      </c>
      <c r="O2" s="166" t="s">
        <v>7</v>
      </c>
      <c r="P2" s="167" t="s">
        <v>1</v>
      </c>
      <c r="Q2" s="119" t="s">
        <v>2</v>
      </c>
      <c r="R2" s="119" t="s">
        <v>2</v>
      </c>
      <c r="S2" s="119" t="s">
        <v>4</v>
      </c>
      <c r="T2" s="121" t="s">
        <v>5</v>
      </c>
      <c r="U2" s="120" t="s">
        <v>6</v>
      </c>
      <c r="V2" s="120" t="s">
        <v>3</v>
      </c>
      <c r="W2" s="120" t="s">
        <v>6</v>
      </c>
      <c r="X2" s="120" t="s">
        <v>3</v>
      </c>
      <c r="Y2" s="120" t="s">
        <v>6</v>
      </c>
      <c r="Z2" s="119" t="s">
        <v>2</v>
      </c>
      <c r="AA2" s="119" t="s">
        <v>2</v>
      </c>
      <c r="AB2" s="119" t="s">
        <v>2</v>
      </c>
      <c r="AC2" s="120" t="s">
        <v>8</v>
      </c>
      <c r="AD2" s="120" t="s">
        <v>6</v>
      </c>
      <c r="AE2" s="120" t="s">
        <v>6</v>
      </c>
      <c r="AF2" s="121" t="s">
        <v>5</v>
      </c>
    </row>
    <row r="3" ht="49.5" spans="1:32">
      <c r="A3" s="122" t="s">
        <v>9</v>
      </c>
      <c r="B3" s="123" t="s">
        <v>10</v>
      </c>
      <c r="C3" s="124" t="s">
        <v>11</v>
      </c>
      <c r="D3" s="124" t="s">
        <v>12</v>
      </c>
      <c r="E3" s="124" t="s">
        <v>13</v>
      </c>
      <c r="F3" s="124" t="s">
        <v>14</v>
      </c>
      <c r="G3" s="124" t="s">
        <v>15</v>
      </c>
      <c r="H3" s="124" t="s">
        <v>16</v>
      </c>
      <c r="I3" s="124" t="s">
        <v>17</v>
      </c>
      <c r="J3" s="124" t="s">
        <v>18</v>
      </c>
      <c r="K3" s="124" t="s">
        <v>19</v>
      </c>
      <c r="L3" s="168" t="s">
        <v>20</v>
      </c>
      <c r="M3" s="168" t="s">
        <v>21</v>
      </c>
      <c r="N3" s="142" t="s">
        <v>22</v>
      </c>
      <c r="O3" s="142" t="s">
        <v>23</v>
      </c>
      <c r="P3" s="169" t="s">
        <v>24</v>
      </c>
      <c r="Q3" s="196" t="s">
        <v>10</v>
      </c>
      <c r="R3" s="176" t="s">
        <v>25</v>
      </c>
      <c r="S3" s="176" t="s">
        <v>12</v>
      </c>
      <c r="T3" s="176" t="s">
        <v>13</v>
      </c>
      <c r="U3" s="176" t="s">
        <v>26</v>
      </c>
      <c r="V3" s="176" t="s">
        <v>15</v>
      </c>
      <c r="W3" s="176" t="s">
        <v>27</v>
      </c>
      <c r="X3" s="176" t="s">
        <v>17</v>
      </c>
      <c r="Y3" s="176" t="s">
        <v>18</v>
      </c>
      <c r="Z3" s="176" t="s">
        <v>28</v>
      </c>
      <c r="AA3" s="176" t="s">
        <v>29</v>
      </c>
      <c r="AB3" s="176" t="s">
        <v>30</v>
      </c>
      <c r="AC3" s="176" t="s">
        <v>31</v>
      </c>
      <c r="AD3" s="201" t="s">
        <v>21</v>
      </c>
      <c r="AE3" s="202" t="s">
        <v>22</v>
      </c>
      <c r="AF3" s="203" t="s">
        <v>23</v>
      </c>
    </row>
    <row r="4" ht="30.75" customHeight="1" spans="1:32">
      <c r="A4" s="125">
        <v>1</v>
      </c>
      <c r="B4" s="126" t="s">
        <v>32</v>
      </c>
      <c r="C4" s="127"/>
      <c r="D4" s="127" t="s">
        <v>33</v>
      </c>
      <c r="E4" s="128" t="str">
        <f>IFERROR(VLOOKUP(D4,【2026年】集团产品与集团产品收入项配置表!D:M,10,FALSE),"选择集团产品名称后自动带出")</f>
        <v>3059(标）、3092(项)</v>
      </c>
      <c r="F4" s="128" t="str">
        <f>IFERROR(VLOOKUP(D4,【2026年】集团产品与集团产品收入项配置表!D:T,17,FALSE),"选择集团产品名称后自动带出")</f>
        <v>需填写速率/带宽</v>
      </c>
      <c r="G4" s="128"/>
      <c r="H4" s="128" t="str">
        <f>IFERROR(VLOOKUP(D4,【2026年】集团产品与集团产品收入项配置表!D:U,18,FALSE),"选择集团产品名称后自动带出")</f>
        <v>无需填写折扣率</v>
      </c>
      <c r="I4" s="144"/>
      <c r="J4" s="144">
        <f>IFERROR(VLOOKUP(D4,【2026年】集团产品与集团产品收入项配置表!D:N,11,FALSE),"选择集团产品名称后自动带出")</f>
        <v>0.09</v>
      </c>
      <c r="K4" s="145"/>
      <c r="L4" s="145"/>
      <c r="M4" s="145" t="str">
        <f>IFERROR(VLOOKUP(D4,【2026年】集团产品与集团产品收入项配置表!D:F,3,FALSE),"选择集团产品名称后自动带出")</f>
        <v>标品</v>
      </c>
      <c r="N4" s="144" t="str">
        <f>IFERROR(VLOOKUP(D4,【2026年】集团产品与集团产品收入项配置表!D:R,15,FALSE),"选择集团产品名称后自动带出")</f>
        <v>是</v>
      </c>
      <c r="O4" s="144" t="str">
        <f>IFERROR(VLOOKUP(D4,【2026年】集团产品与集团产品收入项配置表!D:S,16,FALSE),"选择集团产品名称后自动带出")</f>
        <v>是</v>
      </c>
      <c r="P4" s="170">
        <v>1</v>
      </c>
      <c r="Q4" s="197" t="s">
        <v>34</v>
      </c>
      <c r="R4" s="178"/>
      <c r="S4" s="178" t="s">
        <v>33</v>
      </c>
      <c r="T4" s="180" t="str">
        <f>IFERROR(VLOOKUP(S4,【2026年】集团产品与集团产品收入项配置表!D:M,10,FALSE),"选择集团产品名称后自动带出")</f>
        <v>3059(标）、3092(项)</v>
      </c>
      <c r="U4" s="180" t="str">
        <f>IFERROR(VLOOKUP(S4,【2026年】集团产品与集团产品收入项配置表!D:T,17,FALSE),"选择集团产品名称后自动带出")</f>
        <v>需填写速率/带宽</v>
      </c>
      <c r="V4" s="180"/>
      <c r="W4" s="180" t="str">
        <f>IFERROR(VLOOKUP(S4,【2026年】集团产品与集团产品收入项配置表!D:U,18,FALSE),"选择集团产品名称后自动带出")</f>
        <v>无需填写折扣率</v>
      </c>
      <c r="X4" s="198"/>
      <c r="Y4" s="204">
        <f>IFERROR(VLOOKUP(S4,【2026年】集团产品与集团产品收入项配置表!D:N,11,FALSE),"选择集团产品名称后自动带出")</f>
        <v>0.09</v>
      </c>
      <c r="Z4" s="180"/>
      <c r="AA4" s="181"/>
      <c r="AB4" s="180"/>
      <c r="AC4" s="181">
        <f>AA4*AB4*Z4</f>
        <v>0</v>
      </c>
      <c r="AD4" s="181" t="str">
        <f>IFERROR(VLOOKUP(S4,【2026年】集团产品与集团产品收入项配置表!D:F,3,FALSE),"选择集团产品名称后自动带出")</f>
        <v>标品</v>
      </c>
      <c r="AE4" s="204" t="str">
        <f>IFERROR(VLOOKUP(S4,【2026年】集团产品与集团产品收入项配置表!D:R,15,FALSE),"选择集团产品名称后自动带出")</f>
        <v>是</v>
      </c>
      <c r="AF4" s="204" t="str">
        <f>IFERROR(VLOOKUP(S4,【2026年】集团产品与集团产品收入项配置表!D:S,16,FALSE),"选择集团产品名称后自动带出")</f>
        <v>是</v>
      </c>
    </row>
    <row r="5" ht="30" customHeight="1" spans="1:32">
      <c r="A5" s="129">
        <v>2</v>
      </c>
      <c r="B5" s="130"/>
      <c r="C5" s="127"/>
      <c r="D5" s="127"/>
      <c r="E5" s="128" t="str">
        <f>IFERROR(VLOOKUP(D5,【2026年】集团产品与集团产品收入项配置表!D:M,10,FALSE),"选择集团产品名称后自动带出")</f>
        <v>选择集团产品名称后自动带出</v>
      </c>
      <c r="F5" s="128" t="str">
        <f>IFERROR(VLOOKUP(D5,【2026年】集团产品与集团产品收入项配置表!D:T,17,FALSE),"选择集团产品名称后自动带出")</f>
        <v>选择集团产品名称后自动带出</v>
      </c>
      <c r="G5" s="128"/>
      <c r="H5" s="128" t="str">
        <f>IFERROR(VLOOKUP(D5,【2026年】集团产品与集团产品收入项配置表!D:U,18,FALSE),"选择集团产品名称后自动带出")</f>
        <v>选择集团产品名称后自动带出</v>
      </c>
      <c r="I5" s="144"/>
      <c r="J5" s="144" t="str">
        <f>IFERROR(VLOOKUP(D5,【2026年】集团产品与集团产品收入项配置表!D:N,11,FALSE),"选择集团产品名称后自动带出")</f>
        <v>选择集团产品名称后自动带出</v>
      </c>
      <c r="K5" s="145"/>
      <c r="L5" s="145"/>
      <c r="M5" s="145" t="str">
        <f>IFERROR(VLOOKUP(D5,【2026年】集团产品与集团产品收入项配置表!D:F,3,FALSE),"选择集团产品名称后自动带出")</f>
        <v>选择集团产品名称后自动带出</v>
      </c>
      <c r="N5" s="144" t="str">
        <f>IFERROR(VLOOKUP(D5,【2026年】集团产品与集团产品收入项配置表!D:R,15,FALSE),"选择集团产品名称后自动带出")</f>
        <v>选择集团产品名称后自动带出</v>
      </c>
      <c r="O5" s="144" t="str">
        <f>IFERROR(VLOOKUP(D5,【2026年】集团产品与集团产品收入项配置表!D:S,16,FALSE),"选择集团产品名称后自动带出")</f>
        <v>选择集团产品名称后自动带出</v>
      </c>
      <c r="P5" s="171">
        <v>2</v>
      </c>
      <c r="Q5" s="199"/>
      <c r="R5" s="178"/>
      <c r="S5" s="178"/>
      <c r="T5" s="180" t="str">
        <f>IFERROR(VLOOKUP(S5,【2026年】集团产品与集团产品收入项配置表!D:M,10,FALSE),"选择集团产品名称后自动带出")</f>
        <v>选择集团产品名称后自动带出</v>
      </c>
      <c r="U5" s="180" t="str">
        <f>IFERROR(VLOOKUP(S5,【2026年】集团产品与集团产品收入项配置表!D:T,17,FALSE),"选择集团产品名称后自动带出")</f>
        <v>选择集团产品名称后自动带出</v>
      </c>
      <c r="V5" s="180"/>
      <c r="W5" s="180" t="str">
        <f>IFERROR(VLOOKUP(S5,【2026年】集团产品与集团产品收入项配置表!D:U,18,FALSE),"选择集团产品名称后自动带出")</f>
        <v>选择集团产品名称后自动带出</v>
      </c>
      <c r="X5" s="198"/>
      <c r="Y5" s="204" t="str">
        <f>IFERROR(VLOOKUP(S5,【2026年】集团产品与集团产品收入项配置表!D:N,11,FALSE),"选择集团产品名称后自动带出")</f>
        <v>选择集团产品名称后自动带出</v>
      </c>
      <c r="Z5" s="180"/>
      <c r="AA5" s="181"/>
      <c r="AB5" s="180"/>
      <c r="AC5" s="181">
        <f>AA5*AB5*Z5</f>
        <v>0</v>
      </c>
      <c r="AD5" s="181" t="str">
        <f>IFERROR(VLOOKUP(S5,【2026年】集团产品与集团产品收入项配置表!D:F,3,FALSE),"选择集团产品名称后自动带出")</f>
        <v>选择集团产品名称后自动带出</v>
      </c>
      <c r="AE5" s="204" t="str">
        <f>IFERROR(VLOOKUP(S5,【2026年】集团产品与集团产品收入项配置表!D:R,15,FALSE),"选择集团产品名称后自动带出")</f>
        <v>选择集团产品名称后自动带出</v>
      </c>
      <c r="AF5" s="204" t="str">
        <f>IFERROR(VLOOKUP(S5,【2026年】集团产品与集团产品收入项配置表!D:S,16,FALSE),"选择集团产品名称后自动带出")</f>
        <v>选择集团产品名称后自动带出</v>
      </c>
    </row>
    <row r="6" ht="30" customHeight="1" spans="1:32">
      <c r="A6" s="129">
        <v>3</v>
      </c>
      <c r="B6" s="130"/>
      <c r="C6" s="127"/>
      <c r="D6" s="127"/>
      <c r="E6" s="128" t="str">
        <f>IFERROR(VLOOKUP(D6,【2026年】集团产品与集团产品收入项配置表!D:M,10,FALSE),"选择集团产品名称后自动带出")</f>
        <v>选择集团产品名称后自动带出</v>
      </c>
      <c r="F6" s="128" t="str">
        <f>IFERROR(VLOOKUP(D6,【2026年】集团产品与集团产品收入项配置表!D:T,17,FALSE),"选择集团产品名称后自动带出")</f>
        <v>选择集团产品名称后自动带出</v>
      </c>
      <c r="G6" s="128"/>
      <c r="H6" s="128" t="str">
        <f>IFERROR(VLOOKUP(D6,【2026年】集团产品与集团产品收入项配置表!D:U,18,FALSE),"选择集团产品名称后自动带出")</f>
        <v>选择集团产品名称后自动带出</v>
      </c>
      <c r="I6" s="144"/>
      <c r="J6" s="144" t="str">
        <f>IFERROR(VLOOKUP(D6,【2026年】集团产品与集团产品收入项配置表!D:N,11,FALSE),"选择集团产品名称后自动带出")</f>
        <v>选择集团产品名称后自动带出</v>
      </c>
      <c r="K6" s="145"/>
      <c r="L6" s="145"/>
      <c r="M6" s="145" t="str">
        <f>IFERROR(VLOOKUP(D6,【2026年】集团产品与集团产品收入项配置表!D:F,3,FALSE),"选择集团产品名称后自动带出")</f>
        <v>选择集团产品名称后自动带出</v>
      </c>
      <c r="N6" s="144" t="str">
        <f>IFERROR(VLOOKUP(D6,【2026年】集团产品与集团产品收入项配置表!D:R,15,FALSE),"选择集团产品名称后自动带出")</f>
        <v>选择集团产品名称后自动带出</v>
      </c>
      <c r="O6" s="144" t="str">
        <f>IFERROR(VLOOKUP(D6,【2026年】集团产品与集团产品收入项配置表!D:S,16,FALSE),"选择集团产品名称后自动带出")</f>
        <v>选择集团产品名称后自动带出</v>
      </c>
      <c r="P6" s="171">
        <v>3</v>
      </c>
      <c r="Q6" s="199"/>
      <c r="R6" s="178"/>
      <c r="S6" s="178"/>
      <c r="T6" s="180" t="str">
        <f>IFERROR(VLOOKUP(S6,【2026年】集团产品与集团产品收入项配置表!D:M,10,FALSE),"选择集团产品名称后自动带出")</f>
        <v>选择集团产品名称后自动带出</v>
      </c>
      <c r="U6" s="180" t="str">
        <f>IFERROR(VLOOKUP(S6,【2026年】集团产品与集团产品收入项配置表!D:T,17,FALSE),"选择集团产品名称后自动带出")</f>
        <v>选择集团产品名称后自动带出</v>
      </c>
      <c r="V6" s="180"/>
      <c r="W6" s="180" t="str">
        <f>IFERROR(VLOOKUP(S6,【2026年】集团产品与集团产品收入项配置表!D:U,18,FALSE),"选择集团产品名称后自动带出")</f>
        <v>选择集团产品名称后自动带出</v>
      </c>
      <c r="X6" s="198"/>
      <c r="Y6" s="204" t="str">
        <f>IFERROR(VLOOKUP(S6,【2026年】集团产品与集团产品收入项配置表!D:N,11,FALSE),"选择集团产品名称后自动带出")</f>
        <v>选择集团产品名称后自动带出</v>
      </c>
      <c r="Z6" s="180"/>
      <c r="AA6" s="181"/>
      <c r="AB6" s="180"/>
      <c r="AC6" s="181">
        <f>AA6*AB6*Z6</f>
        <v>0</v>
      </c>
      <c r="AD6" s="181" t="str">
        <f>IFERROR(VLOOKUP(S6,【2026年】集团产品与集团产品收入项配置表!D:F,3,FALSE),"选择集团产品名称后自动带出")</f>
        <v>选择集团产品名称后自动带出</v>
      </c>
      <c r="AE6" s="204" t="str">
        <f>IFERROR(VLOOKUP(S6,【2026年】集团产品与集团产品收入项配置表!D:R,15,FALSE),"选择集团产品名称后自动带出")</f>
        <v>选择集团产品名称后自动带出</v>
      </c>
      <c r="AF6" s="204" t="str">
        <f>IFERROR(VLOOKUP(S6,【2026年】集团产品与集团产品收入项配置表!D:S,16,FALSE),"选择集团产品名称后自动带出")</f>
        <v>选择集团产品名称后自动带出</v>
      </c>
    </row>
    <row r="7" ht="30" customHeight="1" spans="1:32">
      <c r="A7" s="129">
        <v>4</v>
      </c>
      <c r="B7" s="131"/>
      <c r="C7" s="127"/>
      <c r="D7" s="127"/>
      <c r="E7" s="128" t="str">
        <f>IFERROR(VLOOKUP(D7,【2026年】集团产品与集团产品收入项配置表!D:M,10,FALSE),"选择集团产品名称后自动带出")</f>
        <v>选择集团产品名称后自动带出</v>
      </c>
      <c r="F7" s="128" t="str">
        <f>IFERROR(VLOOKUP(D7,【2026年】集团产品与集团产品收入项配置表!D:T,17,FALSE),"选择集团产品名称后自动带出")</f>
        <v>选择集团产品名称后自动带出</v>
      </c>
      <c r="G7" s="128"/>
      <c r="H7" s="128" t="str">
        <f>IFERROR(VLOOKUP(D7,【2026年】集团产品与集团产品收入项配置表!D:U,18,FALSE),"选择集团产品名称后自动带出")</f>
        <v>选择集团产品名称后自动带出</v>
      </c>
      <c r="I7" s="144"/>
      <c r="J7" s="144" t="str">
        <f>IFERROR(VLOOKUP(D7,【2026年】集团产品与集团产品收入项配置表!D:N,11,FALSE),"选择集团产品名称后自动带出")</f>
        <v>选择集团产品名称后自动带出</v>
      </c>
      <c r="K7" s="145"/>
      <c r="L7" s="145"/>
      <c r="M7" s="145" t="str">
        <f>IFERROR(VLOOKUP(D7,【2026年】集团产品与集团产品收入项配置表!D:F,3,FALSE),"选择集团产品名称后自动带出")</f>
        <v>选择集团产品名称后自动带出</v>
      </c>
      <c r="N7" s="144" t="str">
        <f>IFERROR(VLOOKUP(D7,【2026年】集团产品与集团产品收入项配置表!D:R,15,FALSE),"选择集团产品名称后自动带出")</f>
        <v>选择集团产品名称后自动带出</v>
      </c>
      <c r="O7" s="144" t="str">
        <f>IFERROR(VLOOKUP(D7,【2026年】集团产品与集团产品收入项配置表!D:S,16,FALSE),"选择集团产品名称后自动带出")</f>
        <v>选择集团产品名称后自动带出</v>
      </c>
      <c r="P7" s="171">
        <v>4</v>
      </c>
      <c r="Q7" s="199"/>
      <c r="R7" s="178"/>
      <c r="S7" s="178"/>
      <c r="T7" s="180" t="str">
        <f>IFERROR(VLOOKUP(S7,【2026年】集团产品与集团产品收入项配置表!D:M,10,FALSE),"选择集团产品名称后自动带出")</f>
        <v>选择集团产品名称后自动带出</v>
      </c>
      <c r="U7" s="180" t="str">
        <f>IFERROR(VLOOKUP(S7,【2026年】集团产品与集团产品收入项配置表!D:T,17,FALSE),"选择集团产品名称后自动带出")</f>
        <v>选择集团产品名称后自动带出</v>
      </c>
      <c r="V7" s="180"/>
      <c r="W7" s="180" t="str">
        <f>IFERROR(VLOOKUP(S7,【2026年】集团产品与集团产品收入项配置表!D:U,18,FALSE),"选择集团产品名称后自动带出")</f>
        <v>选择集团产品名称后自动带出</v>
      </c>
      <c r="X7" s="198"/>
      <c r="Y7" s="204" t="str">
        <f>IFERROR(VLOOKUP(S7,【2026年】集团产品与集团产品收入项配置表!D:N,11,FALSE),"选择集团产品名称后自动带出")</f>
        <v>选择集团产品名称后自动带出</v>
      </c>
      <c r="Z7" s="180"/>
      <c r="AA7" s="181"/>
      <c r="AB7" s="180"/>
      <c r="AC7" s="181">
        <f>AA7*AB7*Z7</f>
        <v>0</v>
      </c>
      <c r="AD7" s="181" t="str">
        <f>IFERROR(VLOOKUP(S7,【2026年】集团产品与集团产品收入项配置表!D:F,3,FALSE),"选择集团产品名称后自动带出")</f>
        <v>选择集团产品名称后自动带出</v>
      </c>
      <c r="AE7" s="204" t="str">
        <f>IFERROR(VLOOKUP(S7,【2026年】集团产品与集团产品收入项配置表!D:R,15,FALSE),"选择集团产品名称后自动带出")</f>
        <v>选择集团产品名称后自动带出</v>
      </c>
      <c r="AF7" s="204" t="str">
        <f>IFERROR(VLOOKUP(S7,【2026年】集团产品与集团产品收入项配置表!D:S,16,FALSE),"选择集团产品名称后自动带出")</f>
        <v>选择集团产品名称后自动带出</v>
      </c>
    </row>
    <row r="8" ht="30.75" customHeight="1" spans="1:32">
      <c r="A8" s="129">
        <v>5</v>
      </c>
      <c r="B8" s="131"/>
      <c r="C8" s="127"/>
      <c r="D8" s="127"/>
      <c r="E8" s="128" t="str">
        <f>IFERROR(VLOOKUP(D8,【2026年】集团产品与集团产品收入项配置表!D:M,10,FALSE),"选择集团产品名称后自动带出")</f>
        <v>选择集团产品名称后自动带出</v>
      </c>
      <c r="F8" s="128" t="str">
        <f>IFERROR(VLOOKUP(D8,【2026年】集团产品与集团产品收入项配置表!D:T,17,FALSE),"选择集团产品名称后自动带出")</f>
        <v>选择集团产品名称后自动带出</v>
      </c>
      <c r="G8" s="128"/>
      <c r="H8" s="128" t="str">
        <f>IFERROR(VLOOKUP(D8,【2026年】集团产品与集团产品收入项配置表!D:U,18,FALSE),"选择集团产品名称后自动带出")</f>
        <v>选择集团产品名称后自动带出</v>
      </c>
      <c r="I8" s="144"/>
      <c r="J8" s="144" t="str">
        <f>IFERROR(VLOOKUP(D8,【2026年】集团产品与集团产品收入项配置表!D:N,11,FALSE),"选择集团产品名称后自动带出")</f>
        <v>选择集团产品名称后自动带出</v>
      </c>
      <c r="K8" s="145"/>
      <c r="L8" s="145"/>
      <c r="M8" s="145" t="str">
        <f>IFERROR(VLOOKUP(D8,【2026年】集团产品与集团产品收入项配置表!D:F,3,FALSE),"选择集团产品名称后自动带出")</f>
        <v>选择集团产品名称后自动带出</v>
      </c>
      <c r="N8" s="144" t="str">
        <f>IFERROR(VLOOKUP(D8,【2026年】集团产品与集团产品收入项配置表!D:R,15,FALSE),"选择集团产品名称后自动带出")</f>
        <v>选择集团产品名称后自动带出</v>
      </c>
      <c r="O8" s="144" t="str">
        <f>IFERROR(VLOOKUP(D8,【2026年】集团产品与集团产品收入项配置表!D:S,16,FALSE),"选择集团产品名称后自动带出")</f>
        <v>选择集团产品名称后自动带出</v>
      </c>
      <c r="P8" s="171">
        <v>5</v>
      </c>
      <c r="Q8" s="199"/>
      <c r="R8" s="178"/>
      <c r="S8" s="178"/>
      <c r="T8" s="180" t="str">
        <f>IFERROR(VLOOKUP(S8,【2026年】集团产品与集团产品收入项配置表!D:M,10,FALSE),"选择集团产品名称后自动带出")</f>
        <v>选择集团产品名称后自动带出</v>
      </c>
      <c r="U8" s="180" t="str">
        <f>IFERROR(VLOOKUP(S8,【2026年】集团产品与集团产品收入项配置表!D:T,17,FALSE),"选择集团产品名称后自动带出")</f>
        <v>选择集团产品名称后自动带出</v>
      </c>
      <c r="V8" s="180"/>
      <c r="W8" s="180" t="str">
        <f>IFERROR(VLOOKUP(S8,【2026年】集团产品与集团产品收入项配置表!D:U,18,FALSE),"选择集团产品名称后自动带出")</f>
        <v>选择集团产品名称后自动带出</v>
      </c>
      <c r="X8" s="198"/>
      <c r="Y8" s="204" t="str">
        <f>IFERROR(VLOOKUP(S8,【2026年】集团产品与集团产品收入项配置表!D:N,11,FALSE),"选择集团产品名称后自动带出")</f>
        <v>选择集团产品名称后自动带出</v>
      </c>
      <c r="Z8" s="180"/>
      <c r="AA8" s="181"/>
      <c r="AB8" s="180"/>
      <c r="AC8" s="181">
        <f>AA8*AB8*Z8</f>
        <v>0</v>
      </c>
      <c r="AD8" s="181" t="str">
        <f>IFERROR(VLOOKUP(S8,【2026年】集团产品与集团产品收入项配置表!D:F,3,FALSE),"选择集团产品名称后自动带出")</f>
        <v>选择集团产品名称后自动带出</v>
      </c>
      <c r="AE8" s="204" t="str">
        <f>IFERROR(VLOOKUP(S8,【2026年】集团产品与集团产品收入项配置表!D:R,15,FALSE),"选择集团产品名称后自动带出")</f>
        <v>选择集团产品名称后自动带出</v>
      </c>
      <c r="AF8" s="204" t="str">
        <f>IFERROR(VLOOKUP(S8,【2026年】集团产品与集团产品收入项配置表!D:S,16,FALSE),"选择集团产品名称后自动带出")</f>
        <v>选择集团产品名称后自动带出</v>
      </c>
    </row>
    <row r="9" ht="24.95" customHeight="1" spans="1:32">
      <c r="A9" s="132" t="s">
        <v>35</v>
      </c>
      <c r="B9" s="133"/>
      <c r="C9" s="134"/>
      <c r="D9" s="134"/>
      <c r="E9" s="134"/>
      <c r="F9" s="134"/>
      <c r="G9" s="134"/>
      <c r="H9" s="134"/>
      <c r="I9" s="134"/>
      <c r="J9" s="134"/>
      <c r="K9" s="155">
        <f>SUM(K4:K8)</f>
        <v>0</v>
      </c>
      <c r="L9" s="172"/>
      <c r="M9" s="172"/>
      <c r="N9" s="156"/>
      <c r="O9" s="156"/>
      <c r="P9" s="173" t="s">
        <v>35</v>
      </c>
      <c r="Q9" s="200"/>
      <c r="R9" s="189"/>
      <c r="S9" s="189"/>
      <c r="T9" s="189"/>
      <c r="U9" s="189"/>
      <c r="V9" s="189"/>
      <c r="W9" s="189"/>
      <c r="X9" s="189"/>
      <c r="Y9" s="189"/>
      <c r="Z9" s="189"/>
      <c r="AA9" s="189"/>
      <c r="AB9" s="189"/>
      <c r="AC9" s="191">
        <f>SUM(AC4:AC8)</f>
        <v>0</v>
      </c>
      <c r="AD9" s="205"/>
      <c r="AE9" s="206"/>
      <c r="AF9" s="207"/>
    </row>
    <row r="10" ht="27" customHeight="1"/>
    <row r="11" ht="49.5" customHeight="1" spans="1:12">
      <c r="A11" s="135" t="s">
        <v>36</v>
      </c>
      <c r="B11" s="136"/>
      <c r="C11" s="137" t="s">
        <v>37</v>
      </c>
      <c r="D11" s="136"/>
      <c r="E11" s="137" t="s">
        <v>38</v>
      </c>
      <c r="F11" s="136"/>
      <c r="G11" s="138" t="s">
        <v>39</v>
      </c>
      <c r="H11" s="139" t="s">
        <v>40</v>
      </c>
      <c r="I11" s="162" t="s">
        <v>41</v>
      </c>
      <c r="J11" s="174" t="s">
        <v>42</v>
      </c>
      <c r="L11" s="175"/>
    </row>
    <row r="12" customHeight="1" spans="1:2">
      <c r="A12" s="140"/>
      <c r="B12" s="140"/>
    </row>
    <row r="13" ht="34.5" customHeight="1" spans="1:15">
      <c r="A13" s="118" t="s">
        <v>43</v>
      </c>
      <c r="B13" s="119" t="s">
        <v>2</v>
      </c>
      <c r="C13" s="119" t="s">
        <v>4</v>
      </c>
      <c r="D13" s="119" t="s">
        <v>2</v>
      </c>
      <c r="E13" s="119" t="s">
        <v>4</v>
      </c>
      <c r="F13" s="141" t="s">
        <v>44</v>
      </c>
      <c r="G13" s="119" t="s">
        <v>2</v>
      </c>
      <c r="H13" s="119" t="s">
        <v>4</v>
      </c>
      <c r="I13" s="167" t="s">
        <v>43</v>
      </c>
      <c r="J13" s="119" t="s">
        <v>2</v>
      </c>
      <c r="K13" s="119" t="s">
        <v>4</v>
      </c>
      <c r="L13" s="119" t="s">
        <v>2</v>
      </c>
      <c r="M13" s="119" t="s">
        <v>2</v>
      </c>
      <c r="N13" s="120" t="s">
        <v>8</v>
      </c>
      <c r="O13" s="119" t="s">
        <v>4</v>
      </c>
    </row>
    <row r="14" ht="49.5" spans="1:15">
      <c r="A14" s="122" t="s">
        <v>45</v>
      </c>
      <c r="B14" s="124" t="s">
        <v>46</v>
      </c>
      <c r="C14" s="124" t="s">
        <v>47</v>
      </c>
      <c r="D14" s="124" t="s">
        <v>48</v>
      </c>
      <c r="E14" s="124" t="s">
        <v>49</v>
      </c>
      <c r="F14" s="124" t="s">
        <v>50</v>
      </c>
      <c r="G14" s="124" t="s">
        <v>51</v>
      </c>
      <c r="H14" s="142" t="s">
        <v>52</v>
      </c>
      <c r="I14" s="169" t="s">
        <v>53</v>
      </c>
      <c r="J14" s="176" t="s">
        <v>54</v>
      </c>
      <c r="K14" s="176" t="s">
        <v>55</v>
      </c>
      <c r="L14" s="176" t="s">
        <v>56</v>
      </c>
      <c r="M14" s="176" t="s">
        <v>57</v>
      </c>
      <c r="N14" s="176" t="s">
        <v>58</v>
      </c>
      <c r="O14" s="177" t="s">
        <v>52</v>
      </c>
    </row>
    <row r="15" ht="24.95" customHeight="1" spans="1:15">
      <c r="A15" s="125">
        <v>1</v>
      </c>
      <c r="B15" s="127"/>
      <c r="C15" s="143"/>
      <c r="D15" s="128"/>
      <c r="E15" s="128"/>
      <c r="F15" s="144"/>
      <c r="G15" s="145"/>
      <c r="H15" s="146"/>
      <c r="I15" s="170">
        <v>1</v>
      </c>
      <c r="J15" s="178"/>
      <c r="K15" s="179"/>
      <c r="L15" s="180"/>
      <c r="M15" s="181"/>
      <c r="N15" s="181">
        <f>L15*M15</f>
        <v>0</v>
      </c>
      <c r="O15" s="182"/>
    </row>
    <row r="16" ht="24.95" customHeight="1" spans="1:15">
      <c r="A16" s="129">
        <v>2</v>
      </c>
      <c r="B16" s="127"/>
      <c r="C16" s="143"/>
      <c r="D16" s="128"/>
      <c r="E16" s="128"/>
      <c r="F16" s="144"/>
      <c r="G16" s="145"/>
      <c r="H16" s="146"/>
      <c r="I16" s="171">
        <v>2</v>
      </c>
      <c r="J16" s="178"/>
      <c r="K16" s="179"/>
      <c r="L16" s="180"/>
      <c r="M16" s="181"/>
      <c r="N16" s="181">
        <f>L16*M16</f>
        <v>0</v>
      </c>
      <c r="O16" s="182"/>
    </row>
    <row r="17" ht="24.95" customHeight="1" spans="1:15">
      <c r="A17" s="129">
        <v>3</v>
      </c>
      <c r="B17" s="127"/>
      <c r="C17" s="143"/>
      <c r="D17" s="128"/>
      <c r="E17" s="128"/>
      <c r="F17" s="144"/>
      <c r="G17" s="145"/>
      <c r="H17" s="146"/>
      <c r="I17" s="171">
        <v>3</v>
      </c>
      <c r="J17" s="178"/>
      <c r="K17" s="179"/>
      <c r="L17" s="180"/>
      <c r="M17" s="181"/>
      <c r="N17" s="181">
        <f>L17*M17</f>
        <v>0</v>
      </c>
      <c r="O17" s="182"/>
    </row>
    <row r="18" ht="24.95" customHeight="1" spans="1:15">
      <c r="A18" s="147">
        <v>4</v>
      </c>
      <c r="B18" s="148"/>
      <c r="C18" s="149"/>
      <c r="D18" s="150"/>
      <c r="E18" s="150"/>
      <c r="F18" s="151"/>
      <c r="G18" s="145"/>
      <c r="H18" s="152"/>
      <c r="I18" s="183">
        <v>4</v>
      </c>
      <c r="J18" s="184"/>
      <c r="K18" s="185"/>
      <c r="L18" s="186"/>
      <c r="M18" s="187"/>
      <c r="N18" s="181">
        <f>L18*M18</f>
        <v>0</v>
      </c>
      <c r="O18" s="188"/>
    </row>
    <row r="19" ht="24.95" customHeight="1" spans="1:15">
      <c r="A19" s="147">
        <v>5</v>
      </c>
      <c r="B19" s="148"/>
      <c r="C19" s="149"/>
      <c r="D19" s="150"/>
      <c r="E19" s="150"/>
      <c r="F19" s="153"/>
      <c r="G19" s="145"/>
      <c r="H19" s="152"/>
      <c r="I19" s="183">
        <v>5</v>
      </c>
      <c r="J19" s="184"/>
      <c r="K19" s="185"/>
      <c r="L19" s="186"/>
      <c r="M19" s="187"/>
      <c r="N19" s="181">
        <f>L19*M19</f>
        <v>0</v>
      </c>
      <c r="O19" s="188"/>
    </row>
    <row r="20" ht="24.95" customHeight="1" spans="1:15">
      <c r="A20" s="132" t="s">
        <v>35</v>
      </c>
      <c r="B20" s="134"/>
      <c r="C20" s="134"/>
      <c r="D20" s="134"/>
      <c r="E20" s="134"/>
      <c r="F20" s="154">
        <f>SUM(F15:F19)</f>
        <v>0</v>
      </c>
      <c r="G20" s="155">
        <f>SUM(G15:G19)</f>
        <v>0</v>
      </c>
      <c r="H20" s="156"/>
      <c r="I20" s="173" t="s">
        <v>35</v>
      </c>
      <c r="J20" s="189"/>
      <c r="K20" s="189"/>
      <c r="L20" s="190"/>
      <c r="M20" s="190"/>
      <c r="N20" s="191">
        <f>SUM(N15:N19)</f>
        <v>0</v>
      </c>
      <c r="O20" s="192"/>
    </row>
    <row r="21" ht="17.25" spans="3:12">
      <c r="C21" s="157"/>
      <c r="D21" s="158"/>
      <c r="E21" s="158"/>
      <c r="F21" s="159"/>
      <c r="G21" s="159"/>
      <c r="H21" s="159"/>
      <c r="I21" s="159"/>
      <c r="J21" s="159"/>
      <c r="K21" s="158"/>
      <c r="L21" s="158"/>
    </row>
    <row r="22" ht="34.5" customHeight="1" spans="1:15">
      <c r="A22" s="160" t="s">
        <v>59</v>
      </c>
      <c r="B22" s="161" t="s">
        <v>60</v>
      </c>
      <c r="C22" s="162" t="s">
        <v>61</v>
      </c>
      <c r="D22" s="208" t="s">
        <v>62</v>
      </c>
      <c r="E22" s="162" t="s">
        <v>63</v>
      </c>
      <c r="F22" s="161" t="s">
        <v>60</v>
      </c>
      <c r="G22" s="162" t="s">
        <v>61</v>
      </c>
      <c r="H22" s="208" t="s">
        <v>62</v>
      </c>
      <c r="O22" s="193"/>
    </row>
    <row r="23" ht="33.75" customHeight="1" spans="7:7">
      <c r="G23" s="163"/>
    </row>
    <row r="25" spans="1:5">
      <c r="A25" s="116" t="s">
        <v>64</v>
      </c>
      <c r="B25" s="116"/>
      <c r="D25" s="116"/>
      <c r="E25" s="116"/>
    </row>
    <row r="26" ht="18" customHeight="1" spans="1:12">
      <c r="A26" s="116" t="s">
        <v>65</v>
      </c>
      <c r="B26" s="116"/>
      <c r="D26" s="164"/>
      <c r="E26" s="164"/>
      <c r="F26" s="164"/>
      <c r="G26" s="164"/>
      <c r="H26" s="164"/>
      <c r="I26" s="164"/>
      <c r="J26" s="164"/>
      <c r="K26" s="164"/>
      <c r="L26" s="194"/>
    </row>
    <row r="27" ht="18" customHeight="1" spans="1:12">
      <c r="A27" s="116" t="s">
        <v>66</v>
      </c>
      <c r="B27" s="116"/>
      <c r="D27" s="164"/>
      <c r="E27" s="164"/>
      <c r="F27" s="164"/>
      <c r="G27" s="164"/>
      <c r="H27" s="164"/>
      <c r="I27" s="164"/>
      <c r="J27" s="164"/>
      <c r="K27" s="164"/>
      <c r="L27" s="194"/>
    </row>
    <row r="28" ht="18" customHeight="1" spans="1:12">
      <c r="A28" s="165" t="s">
        <v>67</v>
      </c>
      <c r="B28" s="165"/>
      <c r="D28" s="164"/>
      <c r="E28" s="164"/>
      <c r="F28" s="164"/>
      <c r="G28" s="164"/>
      <c r="H28" s="164"/>
      <c r="I28" s="164"/>
      <c r="J28" s="164"/>
      <c r="K28" s="164"/>
      <c r="L28" s="194"/>
    </row>
    <row r="29" spans="1:2">
      <c r="A29" s="165" t="s">
        <v>68</v>
      </c>
      <c r="B29" s="165"/>
    </row>
    <row r="30" spans="1:2">
      <c r="A30" s="165" t="s">
        <v>69</v>
      </c>
      <c r="B30" s="165"/>
    </row>
    <row r="31" spans="1:2">
      <c r="A31" s="165" t="s">
        <v>70</v>
      </c>
      <c r="B31" s="165"/>
    </row>
    <row r="32" spans="1:2">
      <c r="A32" s="165" t="s">
        <v>71</v>
      </c>
      <c r="B32" s="165"/>
    </row>
    <row r="33" spans="1:2">
      <c r="A33" s="165" t="s">
        <v>72</v>
      </c>
      <c r="B33" s="165"/>
    </row>
    <row r="34" spans="1:5">
      <c r="A34" s="165" t="s">
        <v>73</v>
      </c>
      <c r="B34" s="165"/>
      <c r="C34" s="165"/>
      <c r="D34" s="165"/>
      <c r="E34" s="165"/>
    </row>
  </sheetData>
  <sheetProtection selectLockedCells="1" insertRows="0" deleteRows="0"/>
  <mergeCells count="1">
    <mergeCell ref="A1:V1"/>
  </mergeCells>
  <conditionalFormatting sqref="G4:G8">
    <cfRule type="expression" dxfId="0" priority="7">
      <formula>AND(F4="无需填写速率/带宽")</formula>
    </cfRule>
    <cfRule type="expression" dxfId="1" priority="8">
      <formula>AND(F4="需填写速率/带宽")</formula>
    </cfRule>
  </conditionalFormatting>
  <conditionalFormatting sqref="I4:I8">
    <cfRule type="expression" dxfId="2" priority="5">
      <formula>AND(H4="无需填写折扣率")</formula>
    </cfRule>
    <cfRule type="expression" dxfId="1" priority="6">
      <formula>AND(H4="需填写折扣率")</formula>
    </cfRule>
  </conditionalFormatting>
  <conditionalFormatting sqref="V4:V8">
    <cfRule type="expression" dxfId="1" priority="3">
      <formula>AND(U4="需填写速率/带宽")</formula>
    </cfRule>
    <cfRule type="expression" dxfId="2" priority="4">
      <formula>AND(U4="无需填写速率/带宽")</formula>
    </cfRule>
  </conditionalFormatting>
  <conditionalFormatting sqref="X4:X8">
    <cfRule type="expression" dxfId="1" priority="1">
      <formula>AND(W4="需填写折扣率")</formula>
    </cfRule>
    <cfRule type="expression" dxfId="2" priority="2">
      <formula>AND(W4="无需填写折扣率")</formula>
    </cfRule>
  </conditionalFormatting>
  <dataValidations count="13">
    <dataValidation type="custom" allowBlank="1" showInputMessage="1" showErrorMessage="1" errorTitle="不能输入数字" sqref="L6 L7 L8">
      <formula1>ISTEXT(M6:M10)</formula1>
    </dataValidation>
    <dataValidation type="list" allowBlank="1" showInputMessage="1" showErrorMessage="1" sqref="B11 D11 F11">
      <formula1>"是,否"</formula1>
    </dataValidation>
    <dataValidation type="list" allowBlank="1" showInputMessage="1" showErrorMessage="1" sqref="H11">
      <formula1>"增值税普通发票,增值税专用发票"</formula1>
    </dataValidation>
    <dataValidation type="list" allowBlank="1" showInputMessage="1" showErrorMessage="1" sqref="E15:E19">
      <formula1>"初验款,终验款,尾款,到货款,质保款,进度款,预付款,服务款,合同款,首次维护款,维护尾款,审计款,决算款,结算款,施工进度款,试运行款,设计款,设计会审后付款,安全生产费,工程实施进度款,验收款,代理款,运输款,检测款,保修款,首付款,测试款,其他"</formula1>
    </dataValidation>
    <dataValidation type="list" allowBlank="1" showInputMessage="1" showErrorMessage="1" sqref="C15:C19">
      <formula1>"按比例收款,按金额收款"</formula1>
    </dataValidation>
    <dataValidation type="list" allowBlank="1" showInputMessage="1" showErrorMessage="1" sqref="B4:B8">
      <formula1>业务模式和列收方式判断规则!$A$15:$A$25</formula1>
    </dataValidation>
    <dataValidation type="list" allowBlank="1" showInputMessage="1" showErrorMessage="1" sqref="J11">
      <formula1>'税率配置表&amp;利润中心'!$G$2:$G$69</formula1>
    </dataValidation>
    <dataValidation allowBlank="1" showInputMessage="1" showErrorMessage="1" sqref="C4:C8"/>
    <dataValidation type="list" allowBlank="1" showInputMessage="1" showErrorMessage="1" sqref="D4:D8 S4:S8">
      <formula1>【2026年】集团产品与集团产品收入项配置表!$D$2:$D$263</formula1>
    </dataValidation>
    <dataValidation type="custom" allowBlank="1" showInputMessage="1" showErrorMessage="1" errorTitle="不能输入数字" sqref="L4:L5 M4:M8">
      <formula1>ISTEXT(L4:L8)</formula1>
    </dataValidation>
    <dataValidation type="list" allowBlank="1" showInputMessage="1" showErrorMessage="1" sqref="H15:H19 O15:O19">
      <formula1>"非计费系统,计费系统"</formula1>
    </dataValidation>
    <dataValidation type="list" allowBlank="1" showInputMessage="1" showErrorMessage="1" sqref="K15:K19">
      <formula1>"月,季,半年,年"</formula1>
    </dataValidation>
    <dataValidation type="list" allowBlank="1" showInputMessage="1" showErrorMessage="1" sqref="Q4:Q8">
      <formula1>业务模式和列收方式判断规则!$C$15:$C$19</formula1>
    </dataValidation>
  </dataValidations>
  <pageMargins left="0.699305555555556" right="0.699305555555556"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V841"/>
  <sheetViews>
    <sheetView workbookViewId="0">
      <pane xSplit="4" ySplit="1" topLeftCell="E2" activePane="bottomRight" state="frozen"/>
      <selection/>
      <selection pane="topRight"/>
      <selection pane="bottomLeft"/>
      <selection pane="bottomRight" activeCell="N8" sqref="N8"/>
    </sheetView>
  </sheetViews>
  <sheetFormatPr defaultColWidth="9" defaultRowHeight="13.5"/>
  <cols>
    <col min="1" max="1" width="13.625" customWidth="1"/>
    <col min="2" max="2" width="10.625" customWidth="1"/>
    <col min="3" max="3" width="11.875" customWidth="1"/>
    <col min="4" max="4" width="22.625" customWidth="1"/>
    <col min="6" max="6" width="8.5" customWidth="1"/>
    <col min="7" max="7" width="5.875" customWidth="1"/>
    <col min="8" max="8" width="9.625" customWidth="1"/>
    <col min="10" max="10" width="6" customWidth="1"/>
    <col min="11" max="11" width="8.375" customWidth="1"/>
    <col min="12" max="12" width="11" customWidth="1"/>
    <col min="13" max="13" width="14.625" customWidth="1"/>
    <col min="14" max="14" width="10.5" style="88" customWidth="1"/>
    <col min="15" max="15" width="56.25" customWidth="1"/>
    <col min="16" max="16" width="14.375" customWidth="1"/>
    <col min="17" max="17" width="33.75" customWidth="1"/>
    <col min="18" max="19" width="9" customWidth="1"/>
    <col min="20" max="20" width="12.625" customWidth="1"/>
  </cols>
  <sheetData>
    <row r="1" s="85" customFormat="1" ht="48" customHeight="1" spans="1:21">
      <c r="A1" s="89" t="s">
        <v>74</v>
      </c>
      <c r="B1" s="89" t="s">
        <v>75</v>
      </c>
      <c r="C1" s="89" t="s">
        <v>76</v>
      </c>
      <c r="D1" s="90" t="s">
        <v>77</v>
      </c>
      <c r="E1" s="7" t="s">
        <v>78</v>
      </c>
      <c r="F1" s="7" t="s">
        <v>79</v>
      </c>
      <c r="G1" s="7" t="s">
        <v>80</v>
      </c>
      <c r="H1" s="7" t="s">
        <v>81</v>
      </c>
      <c r="I1" s="7" t="s">
        <v>82</v>
      </c>
      <c r="J1" s="7" t="s">
        <v>83</v>
      </c>
      <c r="K1" s="7" t="s">
        <v>84</v>
      </c>
      <c r="L1" s="7" t="s">
        <v>85</v>
      </c>
      <c r="M1" s="7" t="s">
        <v>86</v>
      </c>
      <c r="N1" s="95" t="s">
        <v>18</v>
      </c>
      <c r="O1" s="7" t="s">
        <v>87</v>
      </c>
      <c r="P1" s="7" t="s">
        <v>88</v>
      </c>
      <c r="Q1" s="7" t="s">
        <v>89</v>
      </c>
      <c r="R1" s="7" t="s">
        <v>90</v>
      </c>
      <c r="S1" s="7" t="s">
        <v>91</v>
      </c>
      <c r="T1" s="7" t="s">
        <v>92</v>
      </c>
      <c r="U1" s="7" t="s">
        <v>93</v>
      </c>
    </row>
    <row r="2" s="86" customFormat="1" ht="16.5" spans="1:21">
      <c r="A2" s="91" t="s">
        <v>94</v>
      </c>
      <c r="B2" s="91" t="s">
        <v>95</v>
      </c>
      <c r="C2" s="92" t="s">
        <v>96</v>
      </c>
      <c r="D2" s="93" t="s">
        <v>97</v>
      </c>
      <c r="E2" s="91" t="s">
        <v>98</v>
      </c>
      <c r="F2" s="91" t="s">
        <v>99</v>
      </c>
      <c r="G2" s="94"/>
      <c r="H2" s="92"/>
      <c r="I2" s="92" t="s">
        <v>100</v>
      </c>
      <c r="J2" s="92" t="s">
        <v>101</v>
      </c>
      <c r="K2" s="92"/>
      <c r="L2" s="94" t="s">
        <v>102</v>
      </c>
      <c r="M2" s="96" t="s">
        <v>103</v>
      </c>
      <c r="N2" s="97">
        <v>0.09</v>
      </c>
      <c r="O2" s="98" t="s">
        <v>104</v>
      </c>
      <c r="P2" s="99">
        <v>3077</v>
      </c>
      <c r="Q2" s="99" t="s">
        <v>105</v>
      </c>
      <c r="R2" s="92" t="s">
        <v>98</v>
      </c>
      <c r="S2" s="92" t="s">
        <v>98</v>
      </c>
      <c r="T2" s="94" t="s">
        <v>106</v>
      </c>
      <c r="U2" s="94" t="s">
        <v>107</v>
      </c>
    </row>
    <row r="3" s="86" customFormat="1" ht="16.5" spans="1:21">
      <c r="A3" s="91" t="s">
        <v>94</v>
      </c>
      <c r="B3" s="91" t="s">
        <v>95</v>
      </c>
      <c r="C3" s="92" t="s">
        <v>108</v>
      </c>
      <c r="D3" s="93" t="s">
        <v>109</v>
      </c>
      <c r="E3" s="91" t="s">
        <v>98</v>
      </c>
      <c r="F3" s="91" t="s">
        <v>99</v>
      </c>
      <c r="G3" s="94"/>
      <c r="H3" s="92"/>
      <c r="I3" s="92" t="s">
        <v>100</v>
      </c>
      <c r="J3" s="92" t="s">
        <v>101</v>
      </c>
      <c r="K3" s="92"/>
      <c r="L3" s="94" t="s">
        <v>102</v>
      </c>
      <c r="M3" s="96" t="s">
        <v>103</v>
      </c>
      <c r="N3" s="97">
        <v>0.09</v>
      </c>
      <c r="O3" s="98" t="s">
        <v>104</v>
      </c>
      <c r="P3" s="99">
        <v>3077</v>
      </c>
      <c r="Q3" s="99" t="s">
        <v>105</v>
      </c>
      <c r="R3" s="92" t="s">
        <v>98</v>
      </c>
      <c r="S3" s="92" t="s">
        <v>98</v>
      </c>
      <c r="T3" s="94" t="s">
        <v>106</v>
      </c>
      <c r="U3" s="94" t="s">
        <v>107</v>
      </c>
    </row>
    <row r="4" s="86" customFormat="1" ht="16.5" spans="1:21">
      <c r="A4" s="91" t="s">
        <v>94</v>
      </c>
      <c r="B4" s="91" t="s">
        <v>95</v>
      </c>
      <c r="C4" s="92" t="s">
        <v>110</v>
      </c>
      <c r="D4" s="93" t="s">
        <v>111</v>
      </c>
      <c r="E4" s="91" t="s">
        <v>98</v>
      </c>
      <c r="F4" s="91" t="s">
        <v>99</v>
      </c>
      <c r="G4" s="94"/>
      <c r="H4" s="92"/>
      <c r="I4" s="92" t="s">
        <v>100</v>
      </c>
      <c r="J4" s="92" t="s">
        <v>101</v>
      </c>
      <c r="K4" s="92"/>
      <c r="L4" s="94" t="s">
        <v>102</v>
      </c>
      <c r="M4" s="96" t="s">
        <v>103</v>
      </c>
      <c r="N4" s="97">
        <v>0.09</v>
      </c>
      <c r="O4" s="98" t="s">
        <v>104</v>
      </c>
      <c r="P4" s="99">
        <v>3077</v>
      </c>
      <c r="Q4" s="99" t="s">
        <v>105</v>
      </c>
      <c r="R4" s="92" t="s">
        <v>98</v>
      </c>
      <c r="S4" s="92" t="s">
        <v>98</v>
      </c>
      <c r="T4" s="94" t="s">
        <v>106</v>
      </c>
      <c r="U4" s="94" t="s">
        <v>107</v>
      </c>
    </row>
    <row r="5" s="86" customFormat="1" ht="16.5" spans="1:21">
      <c r="A5" s="91" t="s">
        <v>94</v>
      </c>
      <c r="B5" s="91" t="s">
        <v>95</v>
      </c>
      <c r="C5" s="92" t="s">
        <v>112</v>
      </c>
      <c r="D5" s="93" t="s">
        <v>113</v>
      </c>
      <c r="E5" s="91" t="s">
        <v>98</v>
      </c>
      <c r="F5" s="91" t="s">
        <v>99</v>
      </c>
      <c r="G5" s="94"/>
      <c r="H5" s="92"/>
      <c r="I5" s="92" t="s">
        <v>100</v>
      </c>
      <c r="J5" s="92" t="s">
        <v>101</v>
      </c>
      <c r="K5" s="92"/>
      <c r="L5" s="94" t="s">
        <v>102</v>
      </c>
      <c r="M5" s="96" t="s">
        <v>103</v>
      </c>
      <c r="N5" s="97">
        <v>0.09</v>
      </c>
      <c r="O5" s="98" t="s">
        <v>104</v>
      </c>
      <c r="P5" s="99">
        <v>3077</v>
      </c>
      <c r="Q5" s="99" t="s">
        <v>105</v>
      </c>
      <c r="R5" s="92" t="s">
        <v>98</v>
      </c>
      <c r="S5" s="92" t="s">
        <v>98</v>
      </c>
      <c r="T5" s="94" t="s">
        <v>106</v>
      </c>
      <c r="U5" s="94" t="s">
        <v>107</v>
      </c>
    </row>
    <row r="6" s="86" customFormat="1" ht="16.5" spans="1:21">
      <c r="A6" s="91" t="s">
        <v>94</v>
      </c>
      <c r="B6" s="91" t="s">
        <v>95</v>
      </c>
      <c r="C6" s="92" t="s">
        <v>114</v>
      </c>
      <c r="D6" s="93" t="s">
        <v>115</v>
      </c>
      <c r="E6" s="91" t="s">
        <v>98</v>
      </c>
      <c r="F6" s="91" t="s">
        <v>99</v>
      </c>
      <c r="G6" s="94"/>
      <c r="H6" s="92"/>
      <c r="I6" s="92" t="s">
        <v>100</v>
      </c>
      <c r="J6" s="92" t="s">
        <v>101</v>
      </c>
      <c r="K6" s="92"/>
      <c r="L6" s="94" t="s">
        <v>102</v>
      </c>
      <c r="M6" s="99">
        <v>2891</v>
      </c>
      <c r="N6" s="97">
        <v>0.06</v>
      </c>
      <c r="O6" s="100" t="s">
        <v>116</v>
      </c>
      <c r="P6" s="99">
        <v>2891</v>
      </c>
      <c r="Q6" s="99" t="s">
        <v>116</v>
      </c>
      <c r="R6" s="92" t="s">
        <v>98</v>
      </c>
      <c r="S6" s="92" t="s">
        <v>98</v>
      </c>
      <c r="T6" s="94" t="s">
        <v>106</v>
      </c>
      <c r="U6" s="94" t="s">
        <v>107</v>
      </c>
    </row>
    <row r="7" s="86" customFormat="1" ht="16.5" spans="1:21">
      <c r="A7" s="91" t="s">
        <v>94</v>
      </c>
      <c r="B7" s="91" t="s">
        <v>95</v>
      </c>
      <c r="C7" s="92" t="s">
        <v>117</v>
      </c>
      <c r="D7" s="93" t="s">
        <v>118</v>
      </c>
      <c r="E7" s="91" t="s">
        <v>98</v>
      </c>
      <c r="F7" s="91" t="s">
        <v>99</v>
      </c>
      <c r="G7" s="94"/>
      <c r="H7" s="92"/>
      <c r="I7" s="92" t="s">
        <v>100</v>
      </c>
      <c r="J7" s="92" t="s">
        <v>101</v>
      </c>
      <c r="K7" s="92"/>
      <c r="L7" s="94" t="s">
        <v>102</v>
      </c>
      <c r="M7" s="99">
        <v>2967</v>
      </c>
      <c r="N7" s="97">
        <v>0.06</v>
      </c>
      <c r="O7" s="99" t="s">
        <v>119</v>
      </c>
      <c r="P7" s="99">
        <v>2967</v>
      </c>
      <c r="Q7" s="99" t="s">
        <v>119</v>
      </c>
      <c r="R7" s="92" t="s">
        <v>98</v>
      </c>
      <c r="S7" s="92" t="s">
        <v>98</v>
      </c>
      <c r="T7" s="94" t="s">
        <v>106</v>
      </c>
      <c r="U7" s="94" t="s">
        <v>107</v>
      </c>
    </row>
    <row r="8" s="86" customFormat="1" ht="16.5" spans="1:21">
      <c r="A8" s="91" t="s">
        <v>120</v>
      </c>
      <c r="B8" s="91" t="s">
        <v>121</v>
      </c>
      <c r="C8" s="92" t="s">
        <v>122</v>
      </c>
      <c r="D8" s="93" t="s">
        <v>123</v>
      </c>
      <c r="E8" s="91" t="s">
        <v>124</v>
      </c>
      <c r="F8" s="91" t="s">
        <v>125</v>
      </c>
      <c r="G8" s="94" t="s">
        <v>126</v>
      </c>
      <c r="H8" s="92" t="s">
        <v>126</v>
      </c>
      <c r="I8" s="92" t="s">
        <v>127</v>
      </c>
      <c r="J8" s="92"/>
      <c r="K8" s="92"/>
      <c r="L8" s="94"/>
      <c r="M8" s="99">
        <v>1763</v>
      </c>
      <c r="N8" s="101" t="s">
        <v>128</v>
      </c>
      <c r="O8" s="99" t="s">
        <v>129</v>
      </c>
      <c r="P8" s="99">
        <v>1763</v>
      </c>
      <c r="Q8" s="99"/>
      <c r="R8" s="92" t="s">
        <v>124</v>
      </c>
      <c r="S8" s="92" t="s">
        <v>124</v>
      </c>
      <c r="T8" s="94" t="s">
        <v>130</v>
      </c>
      <c r="U8" s="94" t="s">
        <v>107</v>
      </c>
    </row>
    <row r="9" s="86" customFormat="1" ht="16.5" spans="1:21">
      <c r="A9" s="91" t="s">
        <v>131</v>
      </c>
      <c r="B9" s="91" t="s">
        <v>132</v>
      </c>
      <c r="C9" s="92" t="s">
        <v>133</v>
      </c>
      <c r="D9" s="93" t="s">
        <v>134</v>
      </c>
      <c r="E9" s="91" t="s">
        <v>124</v>
      </c>
      <c r="F9" s="91" t="s">
        <v>135</v>
      </c>
      <c r="G9" s="94" t="s">
        <v>126</v>
      </c>
      <c r="H9" s="92" t="s">
        <v>126</v>
      </c>
      <c r="I9" s="92" t="s">
        <v>136</v>
      </c>
      <c r="J9" s="92"/>
      <c r="K9" s="92"/>
      <c r="L9" s="94"/>
      <c r="M9" s="99">
        <v>3212</v>
      </c>
      <c r="N9" s="97">
        <v>0.13</v>
      </c>
      <c r="O9" s="99" t="s">
        <v>137</v>
      </c>
      <c r="P9" s="99">
        <v>3212</v>
      </c>
      <c r="Q9" s="99" t="s">
        <v>137</v>
      </c>
      <c r="R9" s="92" t="s">
        <v>124</v>
      </c>
      <c r="S9" s="92" t="s">
        <v>124</v>
      </c>
      <c r="T9" s="94" t="s">
        <v>130</v>
      </c>
      <c r="U9" s="94" t="s">
        <v>107</v>
      </c>
    </row>
    <row r="10" s="86" customFormat="1" ht="16.5" spans="1:21">
      <c r="A10" s="91" t="s">
        <v>131</v>
      </c>
      <c r="B10" s="91" t="s">
        <v>132</v>
      </c>
      <c r="C10" s="92" t="s">
        <v>138</v>
      </c>
      <c r="D10" s="93" t="s">
        <v>139</v>
      </c>
      <c r="E10" s="91" t="s">
        <v>124</v>
      </c>
      <c r="F10" s="91" t="s">
        <v>99</v>
      </c>
      <c r="G10" s="94" t="s">
        <v>140</v>
      </c>
      <c r="H10" s="92" t="s">
        <v>141</v>
      </c>
      <c r="I10" s="92" t="s">
        <v>136</v>
      </c>
      <c r="J10" s="92"/>
      <c r="K10" s="92"/>
      <c r="L10" s="94"/>
      <c r="M10" s="99">
        <v>1221</v>
      </c>
      <c r="N10" s="97">
        <v>0.06</v>
      </c>
      <c r="O10" s="99" t="s">
        <v>142</v>
      </c>
      <c r="P10" s="99">
        <v>1221</v>
      </c>
      <c r="Q10" s="99" t="s">
        <v>142</v>
      </c>
      <c r="R10" s="92" t="s">
        <v>98</v>
      </c>
      <c r="S10" s="92" t="s">
        <v>98</v>
      </c>
      <c r="T10" s="94" t="s">
        <v>130</v>
      </c>
      <c r="U10" s="94" t="s">
        <v>107</v>
      </c>
    </row>
    <row r="11" s="86" customFormat="1" ht="16.5" spans="1:21">
      <c r="A11" s="91" t="s">
        <v>131</v>
      </c>
      <c r="B11" s="91" t="s">
        <v>132</v>
      </c>
      <c r="C11" s="92" t="s">
        <v>143</v>
      </c>
      <c r="D11" s="93" t="s">
        <v>144</v>
      </c>
      <c r="E11" s="91" t="s">
        <v>124</v>
      </c>
      <c r="F11" s="91" t="s">
        <v>99</v>
      </c>
      <c r="G11" s="94" t="s">
        <v>145</v>
      </c>
      <c r="H11" s="92" t="s">
        <v>146</v>
      </c>
      <c r="I11" s="92" t="s">
        <v>136</v>
      </c>
      <c r="J11" s="92"/>
      <c r="K11" s="92"/>
      <c r="L11" s="94" t="s">
        <v>147</v>
      </c>
      <c r="M11" s="99">
        <v>1221</v>
      </c>
      <c r="N11" s="97">
        <v>0.06</v>
      </c>
      <c r="O11" s="99" t="s">
        <v>142</v>
      </c>
      <c r="P11" s="99">
        <v>1221</v>
      </c>
      <c r="Q11" s="99" t="s">
        <v>142</v>
      </c>
      <c r="R11" s="92" t="s">
        <v>98</v>
      </c>
      <c r="S11" s="92" t="s">
        <v>98</v>
      </c>
      <c r="T11" s="94" t="s">
        <v>106</v>
      </c>
      <c r="U11" s="94" t="s">
        <v>107</v>
      </c>
    </row>
    <row r="12" s="86" customFormat="1" ht="16.5" spans="1:21">
      <c r="A12" s="91" t="s">
        <v>131</v>
      </c>
      <c r="B12" s="91" t="s">
        <v>132</v>
      </c>
      <c r="C12" s="92" t="s">
        <v>148</v>
      </c>
      <c r="D12" s="93" t="s">
        <v>149</v>
      </c>
      <c r="E12" s="91" t="s">
        <v>124</v>
      </c>
      <c r="F12" s="91" t="s">
        <v>99</v>
      </c>
      <c r="G12" s="94" t="s">
        <v>145</v>
      </c>
      <c r="H12" s="92" t="s">
        <v>146</v>
      </c>
      <c r="I12" s="92" t="s">
        <v>136</v>
      </c>
      <c r="J12" s="92"/>
      <c r="K12" s="92"/>
      <c r="L12" s="94"/>
      <c r="M12" s="99">
        <v>1221</v>
      </c>
      <c r="N12" s="97">
        <v>0.06</v>
      </c>
      <c r="O12" s="99" t="s">
        <v>142</v>
      </c>
      <c r="P12" s="99">
        <v>1221</v>
      </c>
      <c r="Q12" s="99" t="s">
        <v>142</v>
      </c>
      <c r="R12" s="92" t="s">
        <v>98</v>
      </c>
      <c r="S12" s="92" t="s">
        <v>98</v>
      </c>
      <c r="T12" s="94" t="s">
        <v>130</v>
      </c>
      <c r="U12" s="94" t="s">
        <v>107</v>
      </c>
    </row>
    <row r="13" s="86" customFormat="1" ht="16.5" spans="1:21">
      <c r="A13" s="91" t="s">
        <v>131</v>
      </c>
      <c r="B13" s="91" t="s">
        <v>132</v>
      </c>
      <c r="C13" s="92" t="s">
        <v>150</v>
      </c>
      <c r="D13" s="93" t="s">
        <v>151</v>
      </c>
      <c r="E13" s="91" t="s">
        <v>124</v>
      </c>
      <c r="F13" s="91" t="s">
        <v>99</v>
      </c>
      <c r="G13" s="94" t="s">
        <v>145</v>
      </c>
      <c r="H13" s="92" t="s">
        <v>146</v>
      </c>
      <c r="I13" s="92" t="s">
        <v>136</v>
      </c>
      <c r="J13" s="92" t="s">
        <v>152</v>
      </c>
      <c r="K13" s="92"/>
      <c r="L13" s="94" t="s">
        <v>153</v>
      </c>
      <c r="M13" s="99">
        <v>1312</v>
      </c>
      <c r="N13" s="97">
        <v>0.06</v>
      </c>
      <c r="O13" s="99" t="s">
        <v>154</v>
      </c>
      <c r="P13" s="99" t="s">
        <v>155</v>
      </c>
      <c r="Q13" s="99" t="s">
        <v>156</v>
      </c>
      <c r="R13" s="92" t="s">
        <v>98</v>
      </c>
      <c r="S13" s="92" t="s">
        <v>98</v>
      </c>
      <c r="T13" s="94" t="s">
        <v>106</v>
      </c>
      <c r="U13" s="94" t="s">
        <v>107</v>
      </c>
    </row>
    <row r="14" s="86" customFormat="1" ht="16.5" spans="1:21">
      <c r="A14" s="91" t="s">
        <v>131</v>
      </c>
      <c r="B14" s="91" t="s">
        <v>132</v>
      </c>
      <c r="C14" s="92" t="s">
        <v>157</v>
      </c>
      <c r="D14" s="93" t="s">
        <v>158</v>
      </c>
      <c r="E14" s="91" t="s">
        <v>124</v>
      </c>
      <c r="F14" s="91" t="s">
        <v>99</v>
      </c>
      <c r="G14" s="94" t="s">
        <v>145</v>
      </c>
      <c r="H14" s="92" t="s">
        <v>146</v>
      </c>
      <c r="I14" s="92" t="s">
        <v>136</v>
      </c>
      <c r="J14" s="92" t="s">
        <v>152</v>
      </c>
      <c r="K14" s="92"/>
      <c r="L14" s="94" t="s">
        <v>159</v>
      </c>
      <c r="M14" s="99">
        <v>1312</v>
      </c>
      <c r="N14" s="97">
        <v>0.06</v>
      </c>
      <c r="O14" s="99" t="s">
        <v>154</v>
      </c>
      <c r="P14" s="99" t="s">
        <v>155</v>
      </c>
      <c r="Q14" s="99" t="s">
        <v>156</v>
      </c>
      <c r="R14" s="92" t="s">
        <v>98</v>
      </c>
      <c r="S14" s="92" t="s">
        <v>98</v>
      </c>
      <c r="T14" s="94" t="s">
        <v>106</v>
      </c>
      <c r="U14" s="94" t="s">
        <v>107</v>
      </c>
    </row>
    <row r="15" s="86" customFormat="1" ht="16.5" spans="1:21">
      <c r="A15" s="91" t="s">
        <v>131</v>
      </c>
      <c r="B15" s="91" t="s">
        <v>132</v>
      </c>
      <c r="C15" s="92" t="s">
        <v>160</v>
      </c>
      <c r="D15" s="93" t="s">
        <v>161</v>
      </c>
      <c r="E15" s="91" t="s">
        <v>124</v>
      </c>
      <c r="F15" s="91" t="s">
        <v>135</v>
      </c>
      <c r="G15" s="94" t="s">
        <v>162</v>
      </c>
      <c r="H15" s="92" t="s">
        <v>163</v>
      </c>
      <c r="I15" s="92" t="s">
        <v>136</v>
      </c>
      <c r="J15" s="92"/>
      <c r="K15" s="92"/>
      <c r="L15" s="94"/>
      <c r="M15" s="99">
        <v>1414</v>
      </c>
      <c r="N15" s="97">
        <v>0.06</v>
      </c>
      <c r="O15" s="99" t="s">
        <v>164</v>
      </c>
      <c r="P15" s="99">
        <v>1414</v>
      </c>
      <c r="Q15" s="99" t="s">
        <v>164</v>
      </c>
      <c r="R15" s="92" t="s">
        <v>124</v>
      </c>
      <c r="S15" s="92" t="s">
        <v>98</v>
      </c>
      <c r="T15" s="94" t="s">
        <v>130</v>
      </c>
      <c r="U15" s="94" t="s">
        <v>107</v>
      </c>
    </row>
    <row r="16" s="86" customFormat="1" ht="16.5" spans="1:21">
      <c r="A16" s="91" t="s">
        <v>131</v>
      </c>
      <c r="B16" s="91" t="s">
        <v>132</v>
      </c>
      <c r="C16" s="92" t="s">
        <v>165</v>
      </c>
      <c r="D16" s="93" t="s">
        <v>166</v>
      </c>
      <c r="E16" s="91" t="s">
        <v>124</v>
      </c>
      <c r="F16" s="91" t="s">
        <v>99</v>
      </c>
      <c r="G16" s="94" t="s">
        <v>145</v>
      </c>
      <c r="H16" s="92" t="s">
        <v>146</v>
      </c>
      <c r="I16" s="92" t="s">
        <v>136</v>
      </c>
      <c r="J16" s="92" t="s">
        <v>167</v>
      </c>
      <c r="K16" s="92"/>
      <c r="L16" s="94"/>
      <c r="M16" s="99">
        <v>1414</v>
      </c>
      <c r="N16" s="97">
        <v>0.06</v>
      </c>
      <c r="O16" s="99" t="s">
        <v>164</v>
      </c>
      <c r="P16" s="99" t="s">
        <v>168</v>
      </c>
      <c r="Q16" s="99" t="s">
        <v>169</v>
      </c>
      <c r="R16" s="92" t="s">
        <v>98</v>
      </c>
      <c r="S16" s="92" t="s">
        <v>98</v>
      </c>
      <c r="T16" s="94" t="s">
        <v>130</v>
      </c>
      <c r="U16" s="94" t="s">
        <v>107</v>
      </c>
    </row>
    <row r="17" s="86" customFormat="1" ht="16.5" spans="1:21">
      <c r="A17" s="91" t="s">
        <v>131</v>
      </c>
      <c r="B17" s="91" t="s">
        <v>132</v>
      </c>
      <c r="C17" s="92" t="s">
        <v>170</v>
      </c>
      <c r="D17" s="93" t="s">
        <v>171</v>
      </c>
      <c r="E17" s="91" t="s">
        <v>98</v>
      </c>
      <c r="F17" s="91" t="s">
        <v>125</v>
      </c>
      <c r="G17" s="94" t="s">
        <v>126</v>
      </c>
      <c r="H17" s="92" t="s">
        <v>126</v>
      </c>
      <c r="I17" s="92" t="s">
        <v>172</v>
      </c>
      <c r="J17" s="92" t="s">
        <v>101</v>
      </c>
      <c r="K17" s="92"/>
      <c r="L17" s="94"/>
      <c r="M17" s="99">
        <v>1616</v>
      </c>
      <c r="N17" s="97">
        <v>0.06</v>
      </c>
      <c r="O17" s="99" t="s">
        <v>173</v>
      </c>
      <c r="P17" s="99">
        <v>1616</v>
      </c>
      <c r="Q17" s="99" t="s">
        <v>173</v>
      </c>
      <c r="R17" s="92" t="s">
        <v>124</v>
      </c>
      <c r="S17" s="92" t="s">
        <v>98</v>
      </c>
      <c r="T17" s="94" t="s">
        <v>130</v>
      </c>
      <c r="U17" s="94" t="s">
        <v>107</v>
      </c>
    </row>
    <row r="18" s="86" customFormat="1" ht="16.5" spans="1:21">
      <c r="A18" s="91" t="s">
        <v>131</v>
      </c>
      <c r="B18" s="91" t="s">
        <v>132</v>
      </c>
      <c r="C18" s="92" t="s">
        <v>174</v>
      </c>
      <c r="D18" s="93" t="s">
        <v>175</v>
      </c>
      <c r="E18" s="91" t="s">
        <v>124</v>
      </c>
      <c r="F18" s="91" t="s">
        <v>125</v>
      </c>
      <c r="G18" s="94" t="s">
        <v>126</v>
      </c>
      <c r="H18" s="92" t="s">
        <v>126</v>
      </c>
      <c r="I18" s="92" t="s">
        <v>136</v>
      </c>
      <c r="J18" s="92"/>
      <c r="K18" s="92"/>
      <c r="L18" s="94"/>
      <c r="M18" s="99">
        <v>1738</v>
      </c>
      <c r="N18" s="97">
        <v>0.06</v>
      </c>
      <c r="O18" s="99" t="s">
        <v>176</v>
      </c>
      <c r="P18" s="99">
        <v>1738</v>
      </c>
      <c r="Q18" s="99" t="s">
        <v>176</v>
      </c>
      <c r="R18" s="92" t="s">
        <v>124</v>
      </c>
      <c r="S18" s="92" t="s">
        <v>98</v>
      </c>
      <c r="T18" s="94" t="s">
        <v>130</v>
      </c>
      <c r="U18" s="94" t="s">
        <v>107</v>
      </c>
    </row>
    <row r="19" s="86" customFormat="1" ht="16.5" spans="1:21">
      <c r="A19" s="91" t="s">
        <v>131</v>
      </c>
      <c r="B19" s="91" t="s">
        <v>132</v>
      </c>
      <c r="C19" s="92" t="s">
        <v>177</v>
      </c>
      <c r="D19" s="93" t="s">
        <v>178</v>
      </c>
      <c r="E19" s="91" t="s">
        <v>124</v>
      </c>
      <c r="F19" s="91" t="s">
        <v>99</v>
      </c>
      <c r="G19" s="94" t="s">
        <v>179</v>
      </c>
      <c r="H19" s="92" t="s">
        <v>180</v>
      </c>
      <c r="I19" s="92" t="s">
        <v>136</v>
      </c>
      <c r="J19" s="92"/>
      <c r="K19" s="92"/>
      <c r="L19" s="94"/>
      <c r="M19" s="99">
        <v>2735</v>
      </c>
      <c r="N19" s="97">
        <v>0.06</v>
      </c>
      <c r="O19" s="99" t="s">
        <v>181</v>
      </c>
      <c r="P19" s="99">
        <v>2735</v>
      </c>
      <c r="Q19" s="99" t="s">
        <v>181</v>
      </c>
      <c r="R19" s="92" t="s">
        <v>98</v>
      </c>
      <c r="S19" s="92" t="s">
        <v>98</v>
      </c>
      <c r="T19" s="94" t="s">
        <v>130</v>
      </c>
      <c r="U19" s="94" t="s">
        <v>107</v>
      </c>
    </row>
    <row r="20" s="86" customFormat="1" ht="16.5" spans="1:21">
      <c r="A20" s="91" t="s">
        <v>182</v>
      </c>
      <c r="B20" s="91" t="s">
        <v>183</v>
      </c>
      <c r="C20" s="92" t="s">
        <v>184</v>
      </c>
      <c r="D20" s="93" t="s">
        <v>185</v>
      </c>
      <c r="E20" s="91" t="s">
        <v>124</v>
      </c>
      <c r="F20" s="91" t="s">
        <v>99</v>
      </c>
      <c r="G20" s="94" t="s">
        <v>179</v>
      </c>
      <c r="H20" s="92" t="s">
        <v>186</v>
      </c>
      <c r="I20" s="92" t="s">
        <v>136</v>
      </c>
      <c r="J20" s="92"/>
      <c r="K20" s="92"/>
      <c r="L20" s="94"/>
      <c r="M20" s="99">
        <v>1221</v>
      </c>
      <c r="N20" s="97">
        <v>0.06</v>
      </c>
      <c r="O20" s="99" t="s">
        <v>142</v>
      </c>
      <c r="P20" s="99">
        <v>1221</v>
      </c>
      <c r="Q20" s="99" t="s">
        <v>142</v>
      </c>
      <c r="R20" s="92" t="s">
        <v>98</v>
      </c>
      <c r="S20" s="92" t="s">
        <v>98</v>
      </c>
      <c r="T20" s="94" t="s">
        <v>130</v>
      </c>
      <c r="U20" s="94" t="s">
        <v>107</v>
      </c>
    </row>
    <row r="21" s="86" customFormat="1" ht="16.5" spans="1:21">
      <c r="A21" s="91" t="s">
        <v>182</v>
      </c>
      <c r="B21" s="91" t="s">
        <v>183</v>
      </c>
      <c r="C21" s="92" t="s">
        <v>187</v>
      </c>
      <c r="D21" s="93" t="s">
        <v>188</v>
      </c>
      <c r="E21" s="91" t="s">
        <v>124</v>
      </c>
      <c r="F21" s="91" t="s">
        <v>99</v>
      </c>
      <c r="G21" s="94" t="s">
        <v>179</v>
      </c>
      <c r="H21" s="92" t="s">
        <v>189</v>
      </c>
      <c r="I21" s="92" t="s">
        <v>136</v>
      </c>
      <c r="J21" s="92"/>
      <c r="K21" s="92"/>
      <c r="L21" s="94"/>
      <c r="M21" s="99">
        <v>1249</v>
      </c>
      <c r="N21" s="97">
        <v>0.06</v>
      </c>
      <c r="O21" s="99" t="s">
        <v>190</v>
      </c>
      <c r="P21" s="99">
        <v>1249</v>
      </c>
      <c r="Q21" s="99" t="s">
        <v>190</v>
      </c>
      <c r="R21" s="92" t="s">
        <v>98</v>
      </c>
      <c r="S21" s="92" t="s">
        <v>98</v>
      </c>
      <c r="T21" s="94" t="s">
        <v>130</v>
      </c>
      <c r="U21" s="94" t="s">
        <v>107</v>
      </c>
    </row>
    <row r="22" s="86" customFormat="1" ht="16.5" spans="1:21">
      <c r="A22" s="91" t="s">
        <v>182</v>
      </c>
      <c r="B22" s="91" t="s">
        <v>183</v>
      </c>
      <c r="C22" s="92" t="s">
        <v>191</v>
      </c>
      <c r="D22" s="93" t="s">
        <v>192</v>
      </c>
      <c r="E22" s="91" t="s">
        <v>124</v>
      </c>
      <c r="F22" s="91" t="s">
        <v>99</v>
      </c>
      <c r="G22" s="94" t="s">
        <v>179</v>
      </c>
      <c r="H22" s="92" t="s">
        <v>189</v>
      </c>
      <c r="I22" s="92" t="s">
        <v>136</v>
      </c>
      <c r="J22" s="92"/>
      <c r="K22" s="92"/>
      <c r="L22" s="94"/>
      <c r="M22" s="99">
        <v>1249</v>
      </c>
      <c r="N22" s="97">
        <v>0.06</v>
      </c>
      <c r="O22" s="99" t="s">
        <v>190</v>
      </c>
      <c r="P22" s="99">
        <v>1249</v>
      </c>
      <c r="Q22" s="99" t="s">
        <v>190</v>
      </c>
      <c r="R22" s="92" t="s">
        <v>98</v>
      </c>
      <c r="S22" s="92" t="s">
        <v>98</v>
      </c>
      <c r="T22" s="94" t="s">
        <v>130</v>
      </c>
      <c r="U22" s="94" t="s">
        <v>107</v>
      </c>
    </row>
    <row r="23" s="86" customFormat="1" ht="16.5" spans="1:21">
      <c r="A23" s="91" t="s">
        <v>182</v>
      </c>
      <c r="B23" s="91" t="s">
        <v>183</v>
      </c>
      <c r="C23" s="92" t="s">
        <v>193</v>
      </c>
      <c r="D23" s="93" t="s">
        <v>194</v>
      </c>
      <c r="E23" s="91" t="s">
        <v>124</v>
      </c>
      <c r="F23" s="91" t="s">
        <v>99</v>
      </c>
      <c r="G23" s="94" t="s">
        <v>195</v>
      </c>
      <c r="H23" s="92" t="s">
        <v>196</v>
      </c>
      <c r="I23" s="92" t="s">
        <v>136</v>
      </c>
      <c r="J23" s="92"/>
      <c r="K23" s="92"/>
      <c r="L23" s="94"/>
      <c r="M23" s="99">
        <v>1289</v>
      </c>
      <c r="N23" s="97">
        <v>0.06</v>
      </c>
      <c r="O23" s="99" t="s">
        <v>197</v>
      </c>
      <c r="P23" s="99">
        <v>1289</v>
      </c>
      <c r="Q23" s="99" t="s">
        <v>197</v>
      </c>
      <c r="R23" s="92" t="s">
        <v>98</v>
      </c>
      <c r="S23" s="92" t="s">
        <v>98</v>
      </c>
      <c r="T23" s="94" t="s">
        <v>130</v>
      </c>
      <c r="U23" s="94" t="s">
        <v>107</v>
      </c>
    </row>
    <row r="24" s="86" customFormat="1" ht="16.5" spans="1:21">
      <c r="A24" s="91" t="s">
        <v>182</v>
      </c>
      <c r="B24" s="91" t="s">
        <v>183</v>
      </c>
      <c r="C24" s="92" t="s">
        <v>198</v>
      </c>
      <c r="D24" s="93" t="s">
        <v>199</v>
      </c>
      <c r="E24" s="91" t="s">
        <v>98</v>
      </c>
      <c r="F24" s="91" t="s">
        <v>99</v>
      </c>
      <c r="G24" s="94" t="s">
        <v>195</v>
      </c>
      <c r="H24" s="92" t="s">
        <v>196</v>
      </c>
      <c r="I24" s="92" t="s">
        <v>200</v>
      </c>
      <c r="J24" s="92" t="s">
        <v>201</v>
      </c>
      <c r="K24" s="92"/>
      <c r="L24" s="94"/>
      <c r="M24" s="99">
        <v>1197</v>
      </c>
      <c r="N24" s="97">
        <v>0.06</v>
      </c>
      <c r="O24" s="99" t="s">
        <v>202</v>
      </c>
      <c r="P24" s="99">
        <v>1197</v>
      </c>
      <c r="Q24" s="99" t="s">
        <v>202</v>
      </c>
      <c r="R24" s="92" t="s">
        <v>98</v>
      </c>
      <c r="S24" s="92" t="s">
        <v>98</v>
      </c>
      <c r="T24" s="94" t="s">
        <v>130</v>
      </c>
      <c r="U24" s="94" t="s">
        <v>107</v>
      </c>
    </row>
    <row r="25" s="86" customFormat="1" ht="16.5" spans="1:21">
      <c r="A25" s="91" t="s">
        <v>182</v>
      </c>
      <c r="B25" s="91" t="s">
        <v>183</v>
      </c>
      <c r="C25" s="92" t="s">
        <v>203</v>
      </c>
      <c r="D25" s="93" t="s">
        <v>204</v>
      </c>
      <c r="E25" s="91" t="s">
        <v>124</v>
      </c>
      <c r="F25" s="91" t="s">
        <v>99</v>
      </c>
      <c r="G25" s="94" t="s">
        <v>162</v>
      </c>
      <c r="H25" s="92" t="s">
        <v>205</v>
      </c>
      <c r="I25" s="92" t="s">
        <v>136</v>
      </c>
      <c r="J25" s="92"/>
      <c r="K25" s="92"/>
      <c r="L25" s="94"/>
      <c r="M25" s="99">
        <v>2735</v>
      </c>
      <c r="N25" s="97">
        <v>0.06</v>
      </c>
      <c r="O25" s="99" t="s">
        <v>181</v>
      </c>
      <c r="P25" s="99">
        <v>2735</v>
      </c>
      <c r="Q25" s="99" t="s">
        <v>181</v>
      </c>
      <c r="R25" s="92" t="s">
        <v>98</v>
      </c>
      <c r="S25" s="92" t="s">
        <v>98</v>
      </c>
      <c r="T25" s="94" t="s">
        <v>130</v>
      </c>
      <c r="U25" s="94" t="s">
        <v>107</v>
      </c>
    </row>
    <row r="26" s="86" customFormat="1" ht="16.5" spans="1:21">
      <c r="A26" s="91" t="s">
        <v>182</v>
      </c>
      <c r="B26" s="91" t="s">
        <v>183</v>
      </c>
      <c r="C26" s="92" t="s">
        <v>206</v>
      </c>
      <c r="D26" s="93" t="s">
        <v>207</v>
      </c>
      <c r="E26" s="91" t="s">
        <v>124</v>
      </c>
      <c r="F26" s="91" t="s">
        <v>99</v>
      </c>
      <c r="G26" s="94" t="s">
        <v>208</v>
      </c>
      <c r="H26" s="92" t="s">
        <v>209</v>
      </c>
      <c r="I26" s="92" t="s">
        <v>136</v>
      </c>
      <c r="J26" s="92"/>
      <c r="K26" s="92"/>
      <c r="L26" s="94"/>
      <c r="M26" s="99">
        <v>1197</v>
      </c>
      <c r="N26" s="97">
        <v>0.06</v>
      </c>
      <c r="O26" s="99" t="s">
        <v>202</v>
      </c>
      <c r="P26" s="99">
        <v>1197</v>
      </c>
      <c r="Q26" s="99" t="s">
        <v>202</v>
      </c>
      <c r="R26" s="92" t="s">
        <v>98</v>
      </c>
      <c r="S26" s="92" t="s">
        <v>98</v>
      </c>
      <c r="T26" s="94" t="s">
        <v>130</v>
      </c>
      <c r="U26" s="94" t="s">
        <v>107</v>
      </c>
    </row>
    <row r="27" s="86" customFormat="1" ht="16.5" spans="1:21">
      <c r="A27" s="91" t="s">
        <v>182</v>
      </c>
      <c r="B27" s="91" t="s">
        <v>183</v>
      </c>
      <c r="C27" s="92" t="s">
        <v>210</v>
      </c>
      <c r="D27" s="93" t="s">
        <v>211</v>
      </c>
      <c r="E27" s="91" t="s">
        <v>98</v>
      </c>
      <c r="F27" s="91" t="s">
        <v>99</v>
      </c>
      <c r="G27" s="94"/>
      <c r="H27" s="92"/>
      <c r="I27" s="92" t="s">
        <v>136</v>
      </c>
      <c r="J27" s="92" t="s">
        <v>101</v>
      </c>
      <c r="K27" s="92"/>
      <c r="L27" s="94"/>
      <c r="M27" s="99">
        <v>2943</v>
      </c>
      <c r="N27" s="97">
        <v>0.06</v>
      </c>
      <c r="O27" s="99" t="s">
        <v>212</v>
      </c>
      <c r="P27" s="99" t="s">
        <v>213</v>
      </c>
      <c r="Q27" s="99" t="s">
        <v>214</v>
      </c>
      <c r="R27" s="92" t="s">
        <v>98</v>
      </c>
      <c r="S27" s="92" t="s">
        <v>98</v>
      </c>
      <c r="T27" s="94" t="s">
        <v>130</v>
      </c>
      <c r="U27" s="94" t="s">
        <v>107</v>
      </c>
    </row>
    <row r="28" s="86" customFormat="1" ht="16.5" spans="1:21">
      <c r="A28" s="91" t="s">
        <v>182</v>
      </c>
      <c r="B28" s="91" t="s">
        <v>183</v>
      </c>
      <c r="C28" s="92" t="s">
        <v>215</v>
      </c>
      <c r="D28" s="93" t="s">
        <v>216</v>
      </c>
      <c r="E28" s="91" t="s">
        <v>98</v>
      </c>
      <c r="F28" s="91" t="s">
        <v>99</v>
      </c>
      <c r="G28" s="94"/>
      <c r="H28" s="92"/>
      <c r="I28" s="92" t="s">
        <v>136</v>
      </c>
      <c r="J28" s="92" t="s">
        <v>101</v>
      </c>
      <c r="K28" s="92"/>
      <c r="L28" s="94"/>
      <c r="M28" s="99">
        <v>2943</v>
      </c>
      <c r="N28" s="97">
        <v>0.06</v>
      </c>
      <c r="O28" s="99" t="s">
        <v>212</v>
      </c>
      <c r="P28" s="99" t="s">
        <v>213</v>
      </c>
      <c r="Q28" s="99" t="s">
        <v>214</v>
      </c>
      <c r="R28" s="92" t="s">
        <v>98</v>
      </c>
      <c r="S28" s="92" t="s">
        <v>98</v>
      </c>
      <c r="T28" s="94" t="s">
        <v>130</v>
      </c>
      <c r="U28" s="94" t="s">
        <v>107</v>
      </c>
    </row>
    <row r="29" s="86" customFormat="1" ht="16.5" spans="1:21">
      <c r="A29" s="91" t="s">
        <v>182</v>
      </c>
      <c r="B29" s="91" t="s">
        <v>183</v>
      </c>
      <c r="C29" s="92" t="s">
        <v>217</v>
      </c>
      <c r="D29" s="93" t="s">
        <v>218</v>
      </c>
      <c r="E29" s="91" t="s">
        <v>98</v>
      </c>
      <c r="F29" s="91" t="s">
        <v>99</v>
      </c>
      <c r="G29" s="94"/>
      <c r="H29" s="92"/>
      <c r="I29" s="92" t="s">
        <v>136</v>
      </c>
      <c r="J29" s="92" t="s">
        <v>101</v>
      </c>
      <c r="K29" s="92"/>
      <c r="L29" s="94"/>
      <c r="M29" s="99">
        <v>2943</v>
      </c>
      <c r="N29" s="97">
        <v>0.06</v>
      </c>
      <c r="O29" s="99" t="s">
        <v>212</v>
      </c>
      <c r="P29" s="99" t="s">
        <v>213</v>
      </c>
      <c r="Q29" s="99" t="s">
        <v>214</v>
      </c>
      <c r="R29" s="92" t="s">
        <v>98</v>
      </c>
      <c r="S29" s="92" t="s">
        <v>98</v>
      </c>
      <c r="T29" s="94" t="s">
        <v>130</v>
      </c>
      <c r="U29" s="94" t="s">
        <v>107</v>
      </c>
    </row>
    <row r="30" s="86" customFormat="1" ht="16.5" spans="1:21">
      <c r="A30" s="91" t="s">
        <v>219</v>
      </c>
      <c r="B30" s="91" t="s">
        <v>220</v>
      </c>
      <c r="C30" s="92" t="s">
        <v>221</v>
      </c>
      <c r="D30" s="93" t="s">
        <v>222</v>
      </c>
      <c r="E30" s="91" t="s">
        <v>124</v>
      </c>
      <c r="F30" s="91" t="s">
        <v>99</v>
      </c>
      <c r="G30" s="94" t="s">
        <v>195</v>
      </c>
      <c r="H30" s="92" t="s">
        <v>223</v>
      </c>
      <c r="I30" s="92" t="s">
        <v>136</v>
      </c>
      <c r="J30" s="92"/>
      <c r="K30" s="92" t="s">
        <v>224</v>
      </c>
      <c r="L30" s="94" t="s">
        <v>225</v>
      </c>
      <c r="M30" s="99">
        <v>1005</v>
      </c>
      <c r="N30" s="97">
        <v>0.06</v>
      </c>
      <c r="O30" s="99" t="s">
        <v>226</v>
      </c>
      <c r="P30" s="99">
        <v>1005</v>
      </c>
      <c r="Q30" s="99" t="s">
        <v>226</v>
      </c>
      <c r="R30" s="92" t="s">
        <v>98</v>
      </c>
      <c r="S30" s="92" t="s">
        <v>98</v>
      </c>
      <c r="T30" s="94" t="s">
        <v>130</v>
      </c>
      <c r="U30" s="94" t="s">
        <v>107</v>
      </c>
    </row>
    <row r="31" s="86" customFormat="1" ht="16.5" spans="1:21">
      <c r="A31" s="91" t="s">
        <v>227</v>
      </c>
      <c r="B31" s="91" t="s">
        <v>228</v>
      </c>
      <c r="C31" s="92" t="s">
        <v>229</v>
      </c>
      <c r="D31" s="93" t="s">
        <v>230</v>
      </c>
      <c r="E31" s="91" t="s">
        <v>124</v>
      </c>
      <c r="F31" s="91" t="s">
        <v>99</v>
      </c>
      <c r="G31" s="94" t="s">
        <v>195</v>
      </c>
      <c r="H31" s="92" t="s">
        <v>223</v>
      </c>
      <c r="I31" s="92" t="s">
        <v>136</v>
      </c>
      <c r="J31" s="92" t="s">
        <v>152</v>
      </c>
      <c r="K31" s="92"/>
      <c r="L31" s="94"/>
      <c r="M31" s="99">
        <v>1005</v>
      </c>
      <c r="N31" s="97">
        <v>0.06</v>
      </c>
      <c r="O31" s="99" t="s">
        <v>226</v>
      </c>
      <c r="P31" s="99">
        <v>1005</v>
      </c>
      <c r="Q31" s="99" t="s">
        <v>226</v>
      </c>
      <c r="R31" s="92" t="s">
        <v>98</v>
      </c>
      <c r="S31" s="92"/>
      <c r="T31" s="94" t="s">
        <v>130</v>
      </c>
      <c r="U31" s="94" t="s">
        <v>107</v>
      </c>
    </row>
    <row r="32" s="86" customFormat="1" ht="16.5" spans="1:21">
      <c r="A32" s="91" t="s">
        <v>227</v>
      </c>
      <c r="B32" s="91" t="s">
        <v>228</v>
      </c>
      <c r="C32" s="92" t="s">
        <v>231</v>
      </c>
      <c r="D32" s="93" t="s">
        <v>232</v>
      </c>
      <c r="E32" s="91" t="s">
        <v>124</v>
      </c>
      <c r="F32" s="91" t="s">
        <v>99</v>
      </c>
      <c r="G32" s="94" t="s">
        <v>145</v>
      </c>
      <c r="H32" s="92" t="s">
        <v>146</v>
      </c>
      <c r="I32" s="92" t="s">
        <v>136</v>
      </c>
      <c r="J32" s="92" t="s">
        <v>152</v>
      </c>
      <c r="K32" s="92"/>
      <c r="L32" s="94" t="s">
        <v>102</v>
      </c>
      <c r="M32" s="99">
        <v>1301</v>
      </c>
      <c r="N32" s="97">
        <v>0.06</v>
      </c>
      <c r="O32" s="99" t="s">
        <v>233</v>
      </c>
      <c r="P32" s="99" t="s">
        <v>234</v>
      </c>
      <c r="Q32" s="99" t="s">
        <v>235</v>
      </c>
      <c r="R32" s="92" t="s">
        <v>98</v>
      </c>
      <c r="S32" s="92" t="s">
        <v>98</v>
      </c>
      <c r="T32" s="94" t="s">
        <v>106</v>
      </c>
      <c r="U32" s="94" t="s">
        <v>107</v>
      </c>
    </row>
    <row r="33" s="86" customFormat="1" ht="16.5" spans="1:21">
      <c r="A33" s="91" t="s">
        <v>227</v>
      </c>
      <c r="B33" s="91" t="s">
        <v>228</v>
      </c>
      <c r="C33" s="92" t="s">
        <v>236</v>
      </c>
      <c r="D33" s="93" t="s">
        <v>237</v>
      </c>
      <c r="E33" s="91" t="s">
        <v>124</v>
      </c>
      <c r="F33" s="91" t="s">
        <v>99</v>
      </c>
      <c r="G33" s="94" t="s">
        <v>145</v>
      </c>
      <c r="H33" s="92" t="s">
        <v>146</v>
      </c>
      <c r="I33" s="92" t="s">
        <v>136</v>
      </c>
      <c r="J33" s="92" t="s">
        <v>167</v>
      </c>
      <c r="K33" s="92"/>
      <c r="L33" s="94"/>
      <c r="M33" s="99">
        <v>1301</v>
      </c>
      <c r="N33" s="97">
        <v>0.06</v>
      </c>
      <c r="O33" s="99" t="s">
        <v>233</v>
      </c>
      <c r="P33" s="99" t="s">
        <v>234</v>
      </c>
      <c r="Q33" s="99" t="s">
        <v>235</v>
      </c>
      <c r="R33" s="92" t="s">
        <v>98</v>
      </c>
      <c r="S33" s="92" t="s">
        <v>98</v>
      </c>
      <c r="T33" s="94" t="s">
        <v>130</v>
      </c>
      <c r="U33" s="94" t="s">
        <v>107</v>
      </c>
    </row>
    <row r="34" s="86" customFormat="1" ht="16.5" spans="1:21">
      <c r="A34" s="91" t="s">
        <v>227</v>
      </c>
      <c r="B34" s="91" t="s">
        <v>228</v>
      </c>
      <c r="C34" s="92" t="s">
        <v>238</v>
      </c>
      <c r="D34" s="93" t="s">
        <v>239</v>
      </c>
      <c r="E34" s="91" t="s">
        <v>124</v>
      </c>
      <c r="F34" s="91" t="s">
        <v>99</v>
      </c>
      <c r="G34" s="94" t="s">
        <v>145</v>
      </c>
      <c r="H34" s="92" t="s">
        <v>146</v>
      </c>
      <c r="I34" s="92" t="s">
        <v>136</v>
      </c>
      <c r="J34" s="92" t="s">
        <v>152</v>
      </c>
      <c r="K34" s="92"/>
      <c r="L34" s="94" t="s">
        <v>102</v>
      </c>
      <c r="M34" s="99">
        <v>1301</v>
      </c>
      <c r="N34" s="97">
        <v>0.06</v>
      </c>
      <c r="O34" s="99" t="s">
        <v>233</v>
      </c>
      <c r="P34" s="99" t="s">
        <v>234</v>
      </c>
      <c r="Q34" s="99" t="s">
        <v>235</v>
      </c>
      <c r="R34" s="92" t="s">
        <v>98</v>
      </c>
      <c r="S34" s="92" t="s">
        <v>98</v>
      </c>
      <c r="T34" s="94" t="s">
        <v>106</v>
      </c>
      <c r="U34" s="94" t="s">
        <v>107</v>
      </c>
    </row>
    <row r="35" s="86" customFormat="1" ht="16.5" spans="1:21">
      <c r="A35" s="91" t="s">
        <v>227</v>
      </c>
      <c r="B35" s="91" t="s">
        <v>228</v>
      </c>
      <c r="C35" s="92" t="s">
        <v>240</v>
      </c>
      <c r="D35" s="93" t="s">
        <v>241</v>
      </c>
      <c r="E35" s="91" t="s">
        <v>124</v>
      </c>
      <c r="F35" s="91" t="s">
        <v>99</v>
      </c>
      <c r="G35" s="94"/>
      <c r="H35" s="92"/>
      <c r="I35" s="92" t="s">
        <v>242</v>
      </c>
      <c r="J35" s="92"/>
      <c r="K35" s="92"/>
      <c r="L35" s="94"/>
      <c r="M35" s="99"/>
      <c r="N35" s="97"/>
      <c r="O35" s="99"/>
      <c r="P35" s="99"/>
      <c r="Q35" s="99"/>
      <c r="R35" s="92" t="s">
        <v>98</v>
      </c>
      <c r="S35" s="92"/>
      <c r="T35" s="94" t="s">
        <v>130</v>
      </c>
      <c r="U35" s="94" t="s">
        <v>107</v>
      </c>
    </row>
    <row r="36" s="86" customFormat="1" ht="16.5" spans="1:21">
      <c r="A36" s="91" t="s">
        <v>243</v>
      </c>
      <c r="B36" s="91" t="s">
        <v>244</v>
      </c>
      <c r="C36" s="92" t="s">
        <v>245</v>
      </c>
      <c r="D36" s="93" t="s">
        <v>246</v>
      </c>
      <c r="E36" s="91" t="s">
        <v>124</v>
      </c>
      <c r="F36" s="91" t="s">
        <v>99</v>
      </c>
      <c r="G36" s="94" t="s">
        <v>145</v>
      </c>
      <c r="H36" s="92" t="s">
        <v>146</v>
      </c>
      <c r="I36" s="92" t="s">
        <v>136</v>
      </c>
      <c r="J36" s="92" t="s">
        <v>152</v>
      </c>
      <c r="K36" s="92"/>
      <c r="L36" s="94" t="s">
        <v>102</v>
      </c>
      <c r="M36" s="99">
        <v>1320</v>
      </c>
      <c r="N36" s="97">
        <v>0.06</v>
      </c>
      <c r="O36" s="99" t="s">
        <v>247</v>
      </c>
      <c r="P36" s="99" t="s">
        <v>248</v>
      </c>
      <c r="Q36" s="99" t="s">
        <v>249</v>
      </c>
      <c r="R36" s="92" t="s">
        <v>98</v>
      </c>
      <c r="S36" s="92" t="s">
        <v>98</v>
      </c>
      <c r="T36" s="94" t="s">
        <v>106</v>
      </c>
      <c r="U36" s="94" t="s">
        <v>107</v>
      </c>
    </row>
    <row r="37" s="86" customFormat="1" ht="16.5" spans="1:21">
      <c r="A37" s="91" t="s">
        <v>243</v>
      </c>
      <c r="B37" s="91" t="s">
        <v>244</v>
      </c>
      <c r="C37" s="92" t="s">
        <v>250</v>
      </c>
      <c r="D37" s="93" t="s">
        <v>251</v>
      </c>
      <c r="E37" s="91" t="s">
        <v>124</v>
      </c>
      <c r="F37" s="91" t="s">
        <v>99</v>
      </c>
      <c r="G37" s="94" t="s">
        <v>145</v>
      </c>
      <c r="H37" s="92" t="s">
        <v>146</v>
      </c>
      <c r="I37" s="92" t="s">
        <v>136</v>
      </c>
      <c r="J37" s="92" t="s">
        <v>152</v>
      </c>
      <c r="K37" s="92"/>
      <c r="L37" s="94" t="s">
        <v>102</v>
      </c>
      <c r="M37" s="99">
        <v>1320</v>
      </c>
      <c r="N37" s="97">
        <v>0.06</v>
      </c>
      <c r="O37" s="99" t="s">
        <v>247</v>
      </c>
      <c r="P37" s="99" t="s">
        <v>248</v>
      </c>
      <c r="Q37" s="99" t="s">
        <v>249</v>
      </c>
      <c r="R37" s="92" t="s">
        <v>98</v>
      </c>
      <c r="S37" s="92" t="s">
        <v>98</v>
      </c>
      <c r="T37" s="94" t="s">
        <v>106</v>
      </c>
      <c r="U37" s="94" t="s">
        <v>107</v>
      </c>
    </row>
    <row r="38" s="86" customFormat="1" ht="16.5" spans="1:21">
      <c r="A38" s="91" t="s">
        <v>243</v>
      </c>
      <c r="B38" s="91" t="s">
        <v>244</v>
      </c>
      <c r="C38" s="92" t="s">
        <v>252</v>
      </c>
      <c r="D38" s="93" t="s">
        <v>253</v>
      </c>
      <c r="E38" s="91" t="s">
        <v>124</v>
      </c>
      <c r="F38" s="91" t="s">
        <v>99</v>
      </c>
      <c r="G38" s="94" t="s">
        <v>145</v>
      </c>
      <c r="H38" s="92" t="s">
        <v>146</v>
      </c>
      <c r="I38" s="92" t="s">
        <v>136</v>
      </c>
      <c r="J38" s="92" t="s">
        <v>152</v>
      </c>
      <c r="K38" s="92"/>
      <c r="L38" s="94" t="s">
        <v>102</v>
      </c>
      <c r="M38" s="99">
        <v>1331</v>
      </c>
      <c r="N38" s="97">
        <v>0.06</v>
      </c>
      <c r="O38" s="99" t="s">
        <v>254</v>
      </c>
      <c r="P38" s="99">
        <v>1331</v>
      </c>
      <c r="Q38" s="99" t="s">
        <v>254</v>
      </c>
      <c r="R38" s="92" t="s">
        <v>98</v>
      </c>
      <c r="S38" s="92" t="s">
        <v>98</v>
      </c>
      <c r="T38" s="94" t="s">
        <v>106</v>
      </c>
      <c r="U38" s="94" t="s">
        <v>107</v>
      </c>
    </row>
    <row r="39" s="86" customFormat="1" ht="16.5" spans="1:21">
      <c r="A39" s="91" t="s">
        <v>243</v>
      </c>
      <c r="B39" s="91" t="s">
        <v>244</v>
      </c>
      <c r="C39" s="92" t="s">
        <v>255</v>
      </c>
      <c r="D39" s="93" t="s">
        <v>256</v>
      </c>
      <c r="E39" s="91" t="s">
        <v>124</v>
      </c>
      <c r="F39" s="91" t="s">
        <v>99</v>
      </c>
      <c r="G39" s="94" t="s">
        <v>145</v>
      </c>
      <c r="H39" s="92" t="s">
        <v>146</v>
      </c>
      <c r="I39" s="92" t="s">
        <v>136</v>
      </c>
      <c r="J39" s="92" t="s">
        <v>152</v>
      </c>
      <c r="K39" s="92"/>
      <c r="L39" s="94" t="s">
        <v>102</v>
      </c>
      <c r="M39" s="99">
        <v>1331</v>
      </c>
      <c r="N39" s="97">
        <v>0.06</v>
      </c>
      <c r="O39" s="99" t="s">
        <v>254</v>
      </c>
      <c r="P39" s="99">
        <v>1331</v>
      </c>
      <c r="Q39" s="99" t="s">
        <v>254</v>
      </c>
      <c r="R39" s="92" t="s">
        <v>98</v>
      </c>
      <c r="S39" s="92" t="s">
        <v>98</v>
      </c>
      <c r="T39" s="94" t="s">
        <v>106</v>
      </c>
      <c r="U39" s="94" t="s">
        <v>107</v>
      </c>
    </row>
    <row r="40" s="86" customFormat="1" ht="16.5" spans="1:21">
      <c r="A40" s="91" t="s">
        <v>243</v>
      </c>
      <c r="B40" s="91" t="s">
        <v>244</v>
      </c>
      <c r="C40" s="92" t="s">
        <v>257</v>
      </c>
      <c r="D40" s="93" t="s">
        <v>258</v>
      </c>
      <c r="E40" s="91" t="s">
        <v>124</v>
      </c>
      <c r="F40" s="91" t="s">
        <v>99</v>
      </c>
      <c r="G40" s="94" t="s">
        <v>145</v>
      </c>
      <c r="H40" s="92" t="s">
        <v>146</v>
      </c>
      <c r="I40" s="92" t="s">
        <v>136</v>
      </c>
      <c r="J40" s="92" t="s">
        <v>152</v>
      </c>
      <c r="K40" s="92"/>
      <c r="L40" s="94" t="s">
        <v>259</v>
      </c>
      <c r="M40" s="99">
        <v>1330</v>
      </c>
      <c r="N40" s="97">
        <v>0.06</v>
      </c>
      <c r="O40" s="99" t="s">
        <v>260</v>
      </c>
      <c r="P40" s="99">
        <v>1330</v>
      </c>
      <c r="Q40" s="99" t="s">
        <v>260</v>
      </c>
      <c r="R40" s="92" t="s">
        <v>98</v>
      </c>
      <c r="S40" s="92" t="s">
        <v>98</v>
      </c>
      <c r="T40" s="94" t="s">
        <v>106</v>
      </c>
      <c r="U40" s="94" t="s">
        <v>107</v>
      </c>
    </row>
    <row r="41" s="86" customFormat="1" ht="16.5" spans="1:21">
      <c r="A41" s="91" t="s">
        <v>261</v>
      </c>
      <c r="B41" s="91" t="s">
        <v>262</v>
      </c>
      <c r="C41" s="92" t="s">
        <v>263</v>
      </c>
      <c r="D41" s="93" t="s">
        <v>264</v>
      </c>
      <c r="E41" s="91" t="s">
        <v>124</v>
      </c>
      <c r="F41" s="91" t="s">
        <v>99</v>
      </c>
      <c r="G41" s="94" t="s">
        <v>145</v>
      </c>
      <c r="H41" s="92" t="s">
        <v>146</v>
      </c>
      <c r="I41" s="92" t="s">
        <v>136</v>
      </c>
      <c r="J41" s="92" t="s">
        <v>167</v>
      </c>
      <c r="K41" s="92"/>
      <c r="L41" s="94" t="s">
        <v>102</v>
      </c>
      <c r="M41" s="96" t="s">
        <v>265</v>
      </c>
      <c r="N41" s="97">
        <v>0.09</v>
      </c>
      <c r="O41" s="98" t="s">
        <v>266</v>
      </c>
      <c r="P41" s="99" t="s">
        <v>267</v>
      </c>
      <c r="Q41" s="99" t="s">
        <v>268</v>
      </c>
      <c r="R41" s="92" t="s">
        <v>98</v>
      </c>
      <c r="S41" s="92" t="s">
        <v>98</v>
      </c>
      <c r="T41" s="94" t="s">
        <v>106</v>
      </c>
      <c r="U41" s="94" t="s">
        <v>107</v>
      </c>
    </row>
    <row r="42" s="86" customFormat="1" ht="16.5" spans="1:21">
      <c r="A42" s="91" t="s">
        <v>261</v>
      </c>
      <c r="B42" s="91" t="s">
        <v>262</v>
      </c>
      <c r="C42" s="92" t="s">
        <v>269</v>
      </c>
      <c r="D42" s="93" t="s">
        <v>270</v>
      </c>
      <c r="E42" s="91" t="s">
        <v>124</v>
      </c>
      <c r="F42" s="91" t="s">
        <v>99</v>
      </c>
      <c r="G42" s="94" t="s">
        <v>145</v>
      </c>
      <c r="H42" s="92" t="s">
        <v>146</v>
      </c>
      <c r="I42" s="92" t="s">
        <v>136</v>
      </c>
      <c r="J42" s="92" t="s">
        <v>167</v>
      </c>
      <c r="K42" s="92"/>
      <c r="L42" s="94" t="s">
        <v>271</v>
      </c>
      <c r="M42" s="96" t="s">
        <v>272</v>
      </c>
      <c r="N42" s="97">
        <v>0.09</v>
      </c>
      <c r="O42" s="98" t="s">
        <v>273</v>
      </c>
      <c r="P42" s="99">
        <v>3059</v>
      </c>
      <c r="Q42" s="99" t="s">
        <v>274</v>
      </c>
      <c r="R42" s="92" t="s">
        <v>98</v>
      </c>
      <c r="S42" s="92" t="s">
        <v>98</v>
      </c>
      <c r="T42" s="94" t="s">
        <v>106</v>
      </c>
      <c r="U42" s="94" t="s">
        <v>107</v>
      </c>
    </row>
    <row r="43" s="86" customFormat="1" ht="16.5" spans="1:21">
      <c r="A43" s="91" t="s">
        <v>261</v>
      </c>
      <c r="B43" s="91" t="s">
        <v>262</v>
      </c>
      <c r="C43" s="92" t="s">
        <v>275</v>
      </c>
      <c r="D43" s="93" t="s">
        <v>276</v>
      </c>
      <c r="E43" s="91" t="s">
        <v>124</v>
      </c>
      <c r="F43" s="91" t="s">
        <v>99</v>
      </c>
      <c r="G43" s="94" t="s">
        <v>145</v>
      </c>
      <c r="H43" s="92" t="s">
        <v>146</v>
      </c>
      <c r="I43" s="92" t="s">
        <v>136</v>
      </c>
      <c r="J43" s="92" t="s">
        <v>167</v>
      </c>
      <c r="K43" s="92"/>
      <c r="L43" s="94" t="s">
        <v>277</v>
      </c>
      <c r="M43" s="96" t="s">
        <v>272</v>
      </c>
      <c r="N43" s="97">
        <v>0.09</v>
      </c>
      <c r="O43" s="98" t="s">
        <v>273</v>
      </c>
      <c r="P43" s="99">
        <v>3059</v>
      </c>
      <c r="Q43" s="99" t="s">
        <v>274</v>
      </c>
      <c r="R43" s="92" t="s">
        <v>98</v>
      </c>
      <c r="S43" s="92" t="s">
        <v>98</v>
      </c>
      <c r="T43" s="94" t="s">
        <v>106</v>
      </c>
      <c r="U43" s="94" t="s">
        <v>107</v>
      </c>
    </row>
    <row r="44" s="86" customFormat="1" ht="16.5" spans="1:21">
      <c r="A44" s="91" t="s">
        <v>261</v>
      </c>
      <c r="B44" s="91" t="s">
        <v>262</v>
      </c>
      <c r="C44" s="92" t="s">
        <v>278</v>
      </c>
      <c r="D44" s="93" t="s">
        <v>279</v>
      </c>
      <c r="E44" s="91" t="s">
        <v>124</v>
      </c>
      <c r="F44" s="91" t="s">
        <v>99</v>
      </c>
      <c r="G44" s="94" t="s">
        <v>145</v>
      </c>
      <c r="H44" s="92" t="s">
        <v>146</v>
      </c>
      <c r="I44" s="92" t="s">
        <v>136</v>
      </c>
      <c r="J44" s="92" t="s">
        <v>167</v>
      </c>
      <c r="K44" s="92"/>
      <c r="L44" s="94" t="s">
        <v>147</v>
      </c>
      <c r="M44" s="96" t="s">
        <v>280</v>
      </c>
      <c r="N44" s="97">
        <v>0.09</v>
      </c>
      <c r="O44" s="98" t="s">
        <v>281</v>
      </c>
      <c r="P44" s="99">
        <v>3058</v>
      </c>
      <c r="Q44" s="99" t="s">
        <v>282</v>
      </c>
      <c r="R44" s="92" t="s">
        <v>98</v>
      </c>
      <c r="S44" s="92" t="s">
        <v>98</v>
      </c>
      <c r="T44" s="94" t="s">
        <v>106</v>
      </c>
      <c r="U44" s="94" t="s">
        <v>107</v>
      </c>
    </row>
    <row r="45" s="86" customFormat="1" ht="16.5" spans="1:21">
      <c r="A45" s="91" t="s">
        <v>261</v>
      </c>
      <c r="B45" s="91" t="s">
        <v>262</v>
      </c>
      <c r="C45" s="92" t="s">
        <v>283</v>
      </c>
      <c r="D45" s="93" t="s">
        <v>33</v>
      </c>
      <c r="E45" s="91" t="s">
        <v>124</v>
      </c>
      <c r="F45" s="91" t="s">
        <v>99</v>
      </c>
      <c r="G45" s="94" t="s">
        <v>145</v>
      </c>
      <c r="H45" s="92" t="s">
        <v>146</v>
      </c>
      <c r="I45" s="92" t="s">
        <v>136</v>
      </c>
      <c r="J45" s="92" t="s">
        <v>167</v>
      </c>
      <c r="K45" s="92"/>
      <c r="L45" s="94" t="s">
        <v>271</v>
      </c>
      <c r="M45" s="96" t="s">
        <v>272</v>
      </c>
      <c r="N45" s="97">
        <v>0.09</v>
      </c>
      <c r="O45" s="98" t="s">
        <v>273</v>
      </c>
      <c r="P45" s="99">
        <v>3059</v>
      </c>
      <c r="Q45" s="99" t="s">
        <v>274</v>
      </c>
      <c r="R45" s="92" t="s">
        <v>98</v>
      </c>
      <c r="S45" s="92" t="s">
        <v>98</v>
      </c>
      <c r="T45" s="94" t="s">
        <v>106</v>
      </c>
      <c r="U45" s="94" t="s">
        <v>107</v>
      </c>
    </row>
    <row r="46" s="86" customFormat="1" ht="16.5" spans="1:21">
      <c r="A46" s="91" t="s">
        <v>261</v>
      </c>
      <c r="B46" s="91" t="s">
        <v>262</v>
      </c>
      <c r="C46" s="92" t="s">
        <v>284</v>
      </c>
      <c r="D46" s="93" t="s">
        <v>285</v>
      </c>
      <c r="E46" s="91" t="s">
        <v>124</v>
      </c>
      <c r="F46" s="91" t="s">
        <v>99</v>
      </c>
      <c r="G46" s="94" t="s">
        <v>145</v>
      </c>
      <c r="H46" s="92" t="s">
        <v>146</v>
      </c>
      <c r="I46" s="92" t="s">
        <v>136</v>
      </c>
      <c r="J46" s="92" t="s">
        <v>167</v>
      </c>
      <c r="K46" s="92"/>
      <c r="L46" s="94" t="s">
        <v>277</v>
      </c>
      <c r="M46" s="96" t="s">
        <v>272</v>
      </c>
      <c r="N46" s="97">
        <v>0.09</v>
      </c>
      <c r="O46" s="98" t="s">
        <v>273</v>
      </c>
      <c r="P46" s="99">
        <v>3059</v>
      </c>
      <c r="Q46" s="99" t="s">
        <v>274</v>
      </c>
      <c r="R46" s="92" t="s">
        <v>98</v>
      </c>
      <c r="S46" s="92" t="s">
        <v>98</v>
      </c>
      <c r="T46" s="94" t="s">
        <v>106</v>
      </c>
      <c r="U46" s="94" t="s">
        <v>107</v>
      </c>
    </row>
    <row r="47" s="86" customFormat="1" ht="16.5" spans="1:21">
      <c r="A47" s="91" t="s">
        <v>261</v>
      </c>
      <c r="B47" s="91" t="s">
        <v>262</v>
      </c>
      <c r="C47" s="92" t="s">
        <v>286</v>
      </c>
      <c r="D47" s="93" t="s">
        <v>287</v>
      </c>
      <c r="E47" s="91" t="s">
        <v>124</v>
      </c>
      <c r="F47" s="91" t="s">
        <v>99</v>
      </c>
      <c r="G47" s="94" t="s">
        <v>145</v>
      </c>
      <c r="H47" s="92" t="s">
        <v>146</v>
      </c>
      <c r="I47" s="92" t="s">
        <v>136</v>
      </c>
      <c r="J47" s="92" t="s">
        <v>167</v>
      </c>
      <c r="K47" s="92"/>
      <c r="L47" s="94" t="s">
        <v>147</v>
      </c>
      <c r="M47" s="96" t="s">
        <v>280</v>
      </c>
      <c r="N47" s="97">
        <v>0.09</v>
      </c>
      <c r="O47" s="98" t="s">
        <v>281</v>
      </c>
      <c r="P47" s="99">
        <v>3058</v>
      </c>
      <c r="Q47" s="99" t="s">
        <v>282</v>
      </c>
      <c r="R47" s="92" t="s">
        <v>98</v>
      </c>
      <c r="S47" s="92" t="s">
        <v>98</v>
      </c>
      <c r="T47" s="94" t="s">
        <v>106</v>
      </c>
      <c r="U47" s="94" t="s">
        <v>107</v>
      </c>
    </row>
    <row r="48" s="86" customFormat="1" ht="16.5" spans="1:21">
      <c r="A48" s="91" t="s">
        <v>261</v>
      </c>
      <c r="B48" s="91" t="s">
        <v>262</v>
      </c>
      <c r="C48" s="92" t="s">
        <v>288</v>
      </c>
      <c r="D48" s="93" t="s">
        <v>289</v>
      </c>
      <c r="E48" s="91" t="s">
        <v>124</v>
      </c>
      <c r="F48" s="91" t="s">
        <v>99</v>
      </c>
      <c r="G48" s="94" t="s">
        <v>145</v>
      </c>
      <c r="H48" s="92" t="s">
        <v>146</v>
      </c>
      <c r="I48" s="92" t="s">
        <v>136</v>
      </c>
      <c r="J48" s="92" t="s">
        <v>167</v>
      </c>
      <c r="K48" s="92"/>
      <c r="L48" s="94" t="s">
        <v>102</v>
      </c>
      <c r="M48" s="96" t="s">
        <v>290</v>
      </c>
      <c r="N48" s="97">
        <v>0.09</v>
      </c>
      <c r="O48" s="98" t="s">
        <v>291</v>
      </c>
      <c r="P48" s="99" t="s">
        <v>292</v>
      </c>
      <c r="Q48" s="99" t="s">
        <v>293</v>
      </c>
      <c r="R48" s="92" t="s">
        <v>98</v>
      </c>
      <c r="S48" s="92" t="s">
        <v>98</v>
      </c>
      <c r="T48" s="94" t="s">
        <v>106</v>
      </c>
      <c r="U48" s="94" t="s">
        <v>107</v>
      </c>
    </row>
    <row r="49" s="86" customFormat="1" ht="16.5" spans="1:21">
      <c r="A49" s="91" t="s">
        <v>261</v>
      </c>
      <c r="B49" s="91" t="s">
        <v>262</v>
      </c>
      <c r="C49" s="92" t="s">
        <v>294</v>
      </c>
      <c r="D49" s="93" t="s">
        <v>295</v>
      </c>
      <c r="E49" s="91" t="s">
        <v>124</v>
      </c>
      <c r="F49" s="91" t="s">
        <v>99</v>
      </c>
      <c r="G49" s="94" t="s">
        <v>145</v>
      </c>
      <c r="H49" s="92" t="s">
        <v>146</v>
      </c>
      <c r="I49" s="92" t="s">
        <v>136</v>
      </c>
      <c r="J49" s="92" t="s">
        <v>167</v>
      </c>
      <c r="K49" s="92"/>
      <c r="L49" s="94" t="s">
        <v>271</v>
      </c>
      <c r="M49" s="96" t="s">
        <v>296</v>
      </c>
      <c r="N49" s="97">
        <v>0.09</v>
      </c>
      <c r="O49" s="98" t="s">
        <v>297</v>
      </c>
      <c r="P49" s="99">
        <v>3061</v>
      </c>
      <c r="Q49" s="99" t="s">
        <v>298</v>
      </c>
      <c r="R49" s="92" t="s">
        <v>98</v>
      </c>
      <c r="S49" s="92" t="s">
        <v>98</v>
      </c>
      <c r="T49" s="94" t="s">
        <v>106</v>
      </c>
      <c r="U49" s="94" t="s">
        <v>107</v>
      </c>
    </row>
    <row r="50" s="86" customFormat="1" ht="16.5" spans="1:21">
      <c r="A50" s="91" t="s">
        <v>261</v>
      </c>
      <c r="B50" s="91" t="s">
        <v>262</v>
      </c>
      <c r="C50" s="92" t="s">
        <v>299</v>
      </c>
      <c r="D50" s="93" t="s">
        <v>300</v>
      </c>
      <c r="E50" s="91" t="s">
        <v>124</v>
      </c>
      <c r="F50" s="91" t="s">
        <v>99</v>
      </c>
      <c r="G50" s="94" t="s">
        <v>145</v>
      </c>
      <c r="H50" s="92" t="s">
        <v>146</v>
      </c>
      <c r="I50" s="92" t="s">
        <v>136</v>
      </c>
      <c r="J50" s="92" t="s">
        <v>167</v>
      </c>
      <c r="K50" s="92"/>
      <c r="L50" s="94" t="s">
        <v>271</v>
      </c>
      <c r="M50" s="96" t="s">
        <v>296</v>
      </c>
      <c r="N50" s="97">
        <v>0.09</v>
      </c>
      <c r="O50" s="98" t="s">
        <v>297</v>
      </c>
      <c r="P50" s="99">
        <v>3061</v>
      </c>
      <c r="Q50" s="99" t="s">
        <v>298</v>
      </c>
      <c r="R50" s="92" t="s">
        <v>98</v>
      </c>
      <c r="S50" s="92" t="s">
        <v>98</v>
      </c>
      <c r="T50" s="94" t="s">
        <v>106</v>
      </c>
      <c r="U50" s="94" t="s">
        <v>107</v>
      </c>
    </row>
    <row r="51" s="86" customFormat="1" ht="16.5" spans="1:21">
      <c r="A51" s="91" t="s">
        <v>261</v>
      </c>
      <c r="B51" s="91" t="s">
        <v>262</v>
      </c>
      <c r="C51" s="92" t="s">
        <v>301</v>
      </c>
      <c r="D51" s="93" t="s">
        <v>302</v>
      </c>
      <c r="E51" s="91" t="s">
        <v>124</v>
      </c>
      <c r="F51" s="91" t="s">
        <v>99</v>
      </c>
      <c r="G51" s="94" t="s">
        <v>145</v>
      </c>
      <c r="H51" s="92" t="s">
        <v>146</v>
      </c>
      <c r="I51" s="92" t="s">
        <v>136</v>
      </c>
      <c r="J51" s="92" t="s">
        <v>167</v>
      </c>
      <c r="K51" s="92"/>
      <c r="L51" s="94" t="s">
        <v>102</v>
      </c>
      <c r="M51" s="96" t="s">
        <v>103</v>
      </c>
      <c r="N51" s="97">
        <v>0.09</v>
      </c>
      <c r="O51" s="98" t="s">
        <v>104</v>
      </c>
      <c r="P51" s="99">
        <v>3077</v>
      </c>
      <c r="Q51" s="99" t="s">
        <v>105</v>
      </c>
      <c r="R51" s="92" t="s">
        <v>98</v>
      </c>
      <c r="S51" s="92" t="s">
        <v>98</v>
      </c>
      <c r="T51" s="94" t="s">
        <v>106</v>
      </c>
      <c r="U51" s="94" t="s">
        <v>107</v>
      </c>
    </row>
    <row r="52" s="86" customFormat="1" ht="16.5" spans="1:21">
      <c r="A52" s="91" t="s">
        <v>261</v>
      </c>
      <c r="B52" s="91" t="s">
        <v>262</v>
      </c>
      <c r="C52" s="92" t="s">
        <v>303</v>
      </c>
      <c r="D52" s="93" t="s">
        <v>304</v>
      </c>
      <c r="E52" s="91" t="s">
        <v>124</v>
      </c>
      <c r="F52" s="91" t="s">
        <v>99</v>
      </c>
      <c r="G52" s="94" t="s">
        <v>145</v>
      </c>
      <c r="H52" s="92" t="s">
        <v>146</v>
      </c>
      <c r="I52" s="92" t="s">
        <v>136</v>
      </c>
      <c r="J52" s="92" t="s">
        <v>167</v>
      </c>
      <c r="K52" s="92"/>
      <c r="L52" s="94" t="s">
        <v>271</v>
      </c>
      <c r="M52" s="96" t="s">
        <v>305</v>
      </c>
      <c r="N52" s="97">
        <v>0.09</v>
      </c>
      <c r="O52" s="98" t="s">
        <v>306</v>
      </c>
      <c r="P52" s="99">
        <v>3030</v>
      </c>
      <c r="Q52" s="99" t="s">
        <v>307</v>
      </c>
      <c r="R52" s="92" t="s">
        <v>98</v>
      </c>
      <c r="S52" s="92" t="s">
        <v>98</v>
      </c>
      <c r="T52" s="94" t="s">
        <v>106</v>
      </c>
      <c r="U52" s="94" t="s">
        <v>107</v>
      </c>
    </row>
    <row r="53" s="86" customFormat="1" ht="16.5" spans="1:21">
      <c r="A53" s="91" t="s">
        <v>261</v>
      </c>
      <c r="B53" s="91" t="s">
        <v>262</v>
      </c>
      <c r="C53" s="92" t="s">
        <v>308</v>
      </c>
      <c r="D53" s="93" t="s">
        <v>309</v>
      </c>
      <c r="E53" s="91" t="s">
        <v>124</v>
      </c>
      <c r="F53" s="91" t="s">
        <v>99</v>
      </c>
      <c r="G53" s="94"/>
      <c r="H53" s="92"/>
      <c r="I53" s="92" t="s">
        <v>136</v>
      </c>
      <c r="J53" s="92" t="s">
        <v>167</v>
      </c>
      <c r="K53" s="92"/>
      <c r="L53" s="94" t="s">
        <v>277</v>
      </c>
      <c r="M53" s="96" t="s">
        <v>305</v>
      </c>
      <c r="N53" s="97">
        <v>0.09</v>
      </c>
      <c r="O53" s="98" t="s">
        <v>306</v>
      </c>
      <c r="P53" s="99">
        <v>3030</v>
      </c>
      <c r="Q53" s="99" t="s">
        <v>307</v>
      </c>
      <c r="R53" s="92" t="s">
        <v>98</v>
      </c>
      <c r="S53" s="92" t="s">
        <v>98</v>
      </c>
      <c r="T53" s="94" t="s">
        <v>106</v>
      </c>
      <c r="U53" s="94" t="s">
        <v>107</v>
      </c>
    </row>
    <row r="54" s="86" customFormat="1" ht="16.5" spans="1:21">
      <c r="A54" s="91" t="s">
        <v>261</v>
      </c>
      <c r="B54" s="91" t="s">
        <v>262</v>
      </c>
      <c r="C54" s="92" t="s">
        <v>310</v>
      </c>
      <c r="D54" s="93" t="s">
        <v>311</v>
      </c>
      <c r="E54" s="91" t="s">
        <v>124</v>
      </c>
      <c r="F54" s="91" t="s">
        <v>99</v>
      </c>
      <c r="G54" s="94"/>
      <c r="H54" s="92"/>
      <c r="I54" s="92" t="s">
        <v>136</v>
      </c>
      <c r="J54" s="92" t="s">
        <v>167</v>
      </c>
      <c r="K54" s="92"/>
      <c r="L54" s="94" t="s">
        <v>147</v>
      </c>
      <c r="M54" s="96" t="s">
        <v>312</v>
      </c>
      <c r="N54" s="97">
        <v>0.09</v>
      </c>
      <c r="O54" s="98" t="s">
        <v>313</v>
      </c>
      <c r="P54" s="99">
        <v>3029</v>
      </c>
      <c r="Q54" s="99" t="s">
        <v>314</v>
      </c>
      <c r="R54" s="92" t="s">
        <v>98</v>
      </c>
      <c r="S54" s="92" t="s">
        <v>98</v>
      </c>
      <c r="T54" s="94" t="s">
        <v>106</v>
      </c>
      <c r="U54" s="94" t="s">
        <v>107</v>
      </c>
    </row>
    <row r="55" s="86" customFormat="1" ht="16.5" spans="1:21">
      <c r="A55" s="91" t="s">
        <v>261</v>
      </c>
      <c r="B55" s="91" t="s">
        <v>262</v>
      </c>
      <c r="C55" s="92" t="s">
        <v>315</v>
      </c>
      <c r="D55" s="93" t="s">
        <v>316</v>
      </c>
      <c r="E55" s="91" t="s">
        <v>124</v>
      </c>
      <c r="F55" s="91" t="s">
        <v>99</v>
      </c>
      <c r="G55" s="94"/>
      <c r="H55" s="92"/>
      <c r="I55" s="92" t="s">
        <v>136</v>
      </c>
      <c r="J55" s="92"/>
      <c r="K55" s="92"/>
      <c r="L55" s="94"/>
      <c r="M55" s="99">
        <v>1965</v>
      </c>
      <c r="N55" s="97">
        <v>0.09</v>
      </c>
      <c r="O55" s="100" t="s">
        <v>317</v>
      </c>
      <c r="P55" s="99">
        <v>1965</v>
      </c>
      <c r="Q55" s="99" t="s">
        <v>317</v>
      </c>
      <c r="R55" s="92" t="s">
        <v>98</v>
      </c>
      <c r="S55" s="92" t="s">
        <v>98</v>
      </c>
      <c r="T55" s="94" t="s">
        <v>106</v>
      </c>
      <c r="U55" s="94" t="s">
        <v>107</v>
      </c>
    </row>
    <row r="56" s="86" customFormat="1" ht="16.5" spans="1:21">
      <c r="A56" s="91" t="s">
        <v>318</v>
      </c>
      <c r="B56" s="91" t="s">
        <v>319</v>
      </c>
      <c r="C56" s="92" t="s">
        <v>320</v>
      </c>
      <c r="D56" s="93" t="s">
        <v>321</v>
      </c>
      <c r="E56" s="91" t="s">
        <v>124</v>
      </c>
      <c r="F56" s="91" t="s">
        <v>99</v>
      </c>
      <c r="G56" s="94" t="s">
        <v>195</v>
      </c>
      <c r="H56" s="92" t="s">
        <v>223</v>
      </c>
      <c r="I56" s="92" t="s">
        <v>322</v>
      </c>
      <c r="J56" s="92" t="s">
        <v>322</v>
      </c>
      <c r="K56" s="92"/>
      <c r="L56" s="94"/>
      <c r="M56" s="99">
        <v>1714</v>
      </c>
      <c r="N56" s="97">
        <v>0.09</v>
      </c>
      <c r="O56" s="98" t="s">
        <v>323</v>
      </c>
      <c r="P56" s="99">
        <v>1714</v>
      </c>
      <c r="Q56" s="99" t="s">
        <v>323</v>
      </c>
      <c r="R56" s="92" t="s">
        <v>98</v>
      </c>
      <c r="S56" s="92" t="s">
        <v>98</v>
      </c>
      <c r="T56" s="94" t="s">
        <v>130</v>
      </c>
      <c r="U56" s="94" t="s">
        <v>107</v>
      </c>
    </row>
    <row r="57" s="86" customFormat="1" ht="16.5" spans="1:21">
      <c r="A57" s="91" t="s">
        <v>318</v>
      </c>
      <c r="B57" s="91" t="s">
        <v>319</v>
      </c>
      <c r="C57" s="92" t="s">
        <v>324</v>
      </c>
      <c r="D57" s="93" t="s">
        <v>325</v>
      </c>
      <c r="E57" s="91" t="s">
        <v>124</v>
      </c>
      <c r="F57" s="91" t="s">
        <v>99</v>
      </c>
      <c r="G57" s="94" t="s">
        <v>195</v>
      </c>
      <c r="H57" s="92" t="s">
        <v>223</v>
      </c>
      <c r="I57" s="92" t="s">
        <v>322</v>
      </c>
      <c r="J57" s="92" t="s">
        <v>322</v>
      </c>
      <c r="K57" s="92"/>
      <c r="L57" s="94"/>
      <c r="M57" s="99">
        <v>1716</v>
      </c>
      <c r="N57" s="97">
        <v>0.06</v>
      </c>
      <c r="O57" s="98" t="s">
        <v>326</v>
      </c>
      <c r="P57" s="99">
        <v>1716</v>
      </c>
      <c r="Q57" s="99" t="s">
        <v>326</v>
      </c>
      <c r="R57" s="92" t="s">
        <v>98</v>
      </c>
      <c r="S57" s="92" t="s">
        <v>98</v>
      </c>
      <c r="T57" s="94" t="s">
        <v>130</v>
      </c>
      <c r="U57" s="94" t="s">
        <v>327</v>
      </c>
    </row>
    <row r="58" s="86" customFormat="1" ht="16.5" spans="1:21">
      <c r="A58" s="91" t="s">
        <v>318</v>
      </c>
      <c r="B58" s="91" t="s">
        <v>319</v>
      </c>
      <c r="C58" s="92" t="s">
        <v>328</v>
      </c>
      <c r="D58" s="93" t="s">
        <v>329</v>
      </c>
      <c r="E58" s="91" t="s">
        <v>124</v>
      </c>
      <c r="F58" s="91" t="s">
        <v>99</v>
      </c>
      <c r="G58" s="94" t="s">
        <v>195</v>
      </c>
      <c r="H58" s="92" t="s">
        <v>223</v>
      </c>
      <c r="I58" s="92" t="s">
        <v>322</v>
      </c>
      <c r="J58" s="92" t="s">
        <v>322</v>
      </c>
      <c r="K58" s="92"/>
      <c r="L58" s="94"/>
      <c r="M58" s="99">
        <v>1719</v>
      </c>
      <c r="N58" s="97">
        <v>0.06</v>
      </c>
      <c r="O58" s="98" t="s">
        <v>330</v>
      </c>
      <c r="P58" s="99">
        <v>1719</v>
      </c>
      <c r="Q58" s="99" t="s">
        <v>330</v>
      </c>
      <c r="R58" s="92" t="s">
        <v>98</v>
      </c>
      <c r="S58" s="92" t="s">
        <v>98</v>
      </c>
      <c r="T58" s="94" t="s">
        <v>130</v>
      </c>
      <c r="U58" s="94" t="s">
        <v>107</v>
      </c>
    </row>
    <row r="59" s="86" customFormat="1" ht="16.5" spans="1:21">
      <c r="A59" s="91" t="s">
        <v>318</v>
      </c>
      <c r="B59" s="91" t="s">
        <v>319</v>
      </c>
      <c r="C59" s="92" t="s">
        <v>331</v>
      </c>
      <c r="D59" s="93" t="s">
        <v>332</v>
      </c>
      <c r="E59" s="91" t="s">
        <v>124</v>
      </c>
      <c r="F59" s="91" t="s">
        <v>99</v>
      </c>
      <c r="G59" s="94" t="s">
        <v>195</v>
      </c>
      <c r="H59" s="92" t="s">
        <v>223</v>
      </c>
      <c r="I59" s="92" t="s">
        <v>322</v>
      </c>
      <c r="J59" s="92" t="s">
        <v>322</v>
      </c>
      <c r="K59" s="92"/>
      <c r="L59" s="94"/>
      <c r="M59" s="99">
        <v>1720</v>
      </c>
      <c r="N59" s="97">
        <v>0.06</v>
      </c>
      <c r="O59" s="98" t="s">
        <v>333</v>
      </c>
      <c r="P59" s="99">
        <v>1720</v>
      </c>
      <c r="Q59" s="99" t="s">
        <v>333</v>
      </c>
      <c r="R59" s="92" t="s">
        <v>98</v>
      </c>
      <c r="S59" s="92" t="s">
        <v>98</v>
      </c>
      <c r="T59" s="94" t="s">
        <v>130</v>
      </c>
      <c r="U59" s="94" t="s">
        <v>107</v>
      </c>
    </row>
    <row r="60" s="86" customFormat="1" ht="16.5" spans="1:21">
      <c r="A60" s="91" t="s">
        <v>318</v>
      </c>
      <c r="B60" s="91" t="s">
        <v>319</v>
      </c>
      <c r="C60" s="92" t="s">
        <v>334</v>
      </c>
      <c r="D60" s="93" t="s">
        <v>335</v>
      </c>
      <c r="E60" s="91" t="s">
        <v>98</v>
      </c>
      <c r="F60" s="91" t="s">
        <v>99</v>
      </c>
      <c r="G60" s="94"/>
      <c r="H60" s="92"/>
      <c r="I60" s="92" t="s">
        <v>322</v>
      </c>
      <c r="J60" s="92" t="s">
        <v>101</v>
      </c>
      <c r="K60" s="92"/>
      <c r="L60" s="94"/>
      <c r="M60" s="96" t="s">
        <v>336</v>
      </c>
      <c r="N60" s="97">
        <v>0.06</v>
      </c>
      <c r="O60" s="98" t="s">
        <v>337</v>
      </c>
      <c r="P60" s="99">
        <v>3113</v>
      </c>
      <c r="Q60" s="99" t="s">
        <v>337</v>
      </c>
      <c r="R60" s="92" t="s">
        <v>98</v>
      </c>
      <c r="S60" s="92" t="s">
        <v>98</v>
      </c>
      <c r="T60" s="94" t="s">
        <v>130</v>
      </c>
      <c r="U60" s="94" t="s">
        <v>107</v>
      </c>
    </row>
    <row r="61" s="86" customFormat="1" ht="16.5" spans="1:21">
      <c r="A61" s="91" t="s">
        <v>318</v>
      </c>
      <c r="B61" s="91" t="s">
        <v>319</v>
      </c>
      <c r="C61" s="92" t="s">
        <v>338</v>
      </c>
      <c r="D61" s="93" t="s">
        <v>339</v>
      </c>
      <c r="E61" s="91" t="s">
        <v>124</v>
      </c>
      <c r="F61" s="91" t="s">
        <v>99</v>
      </c>
      <c r="G61" s="94" t="s">
        <v>195</v>
      </c>
      <c r="H61" s="92" t="s">
        <v>223</v>
      </c>
      <c r="I61" s="92" t="s">
        <v>322</v>
      </c>
      <c r="J61" s="92" t="s">
        <v>322</v>
      </c>
      <c r="K61" s="92"/>
      <c r="L61" s="94"/>
      <c r="M61" s="96" t="s">
        <v>340</v>
      </c>
      <c r="N61" s="97">
        <v>0.06</v>
      </c>
      <c r="O61" s="98" t="s">
        <v>341</v>
      </c>
      <c r="P61" s="99">
        <v>3119</v>
      </c>
      <c r="Q61" s="99" t="s">
        <v>341</v>
      </c>
      <c r="R61" s="92" t="s">
        <v>98</v>
      </c>
      <c r="S61" s="92" t="s">
        <v>98</v>
      </c>
      <c r="T61" s="94" t="s">
        <v>130</v>
      </c>
      <c r="U61" s="94" t="s">
        <v>107</v>
      </c>
    </row>
    <row r="62" s="86" customFormat="1" ht="16.5" spans="1:21">
      <c r="A62" s="91" t="s">
        <v>318</v>
      </c>
      <c r="B62" s="91" t="s">
        <v>319</v>
      </c>
      <c r="C62" s="92" t="s">
        <v>342</v>
      </c>
      <c r="D62" s="93" t="s">
        <v>343</v>
      </c>
      <c r="E62" s="91" t="s">
        <v>98</v>
      </c>
      <c r="F62" s="91" t="s">
        <v>125</v>
      </c>
      <c r="G62" s="94" t="s">
        <v>195</v>
      </c>
      <c r="H62" s="92" t="s">
        <v>196</v>
      </c>
      <c r="I62" s="92" t="s">
        <v>172</v>
      </c>
      <c r="J62" s="92" t="s">
        <v>101</v>
      </c>
      <c r="K62" s="92" t="s">
        <v>344</v>
      </c>
      <c r="L62" s="94" t="s">
        <v>345</v>
      </c>
      <c r="M62" s="99">
        <v>2914</v>
      </c>
      <c r="N62" s="97">
        <v>0.06</v>
      </c>
      <c r="O62" s="99" t="s">
        <v>346</v>
      </c>
      <c r="P62" s="99">
        <v>2914</v>
      </c>
      <c r="Q62" s="99" t="s">
        <v>346</v>
      </c>
      <c r="R62" s="92" t="s">
        <v>124</v>
      </c>
      <c r="S62" s="92" t="s">
        <v>98</v>
      </c>
      <c r="T62" s="94" t="s">
        <v>130</v>
      </c>
      <c r="U62" s="94" t="s">
        <v>107</v>
      </c>
    </row>
    <row r="63" s="86" customFormat="1" ht="16.5" spans="1:21">
      <c r="A63" s="91" t="s">
        <v>318</v>
      </c>
      <c r="B63" s="91" t="s">
        <v>319</v>
      </c>
      <c r="C63" s="92" t="s">
        <v>347</v>
      </c>
      <c r="D63" s="93" t="s">
        <v>348</v>
      </c>
      <c r="E63" s="91" t="s">
        <v>98</v>
      </c>
      <c r="F63" s="91" t="s">
        <v>349</v>
      </c>
      <c r="G63" s="94" t="s">
        <v>195</v>
      </c>
      <c r="H63" s="92" t="s">
        <v>196</v>
      </c>
      <c r="I63" s="92" t="s">
        <v>322</v>
      </c>
      <c r="J63" s="92" t="s">
        <v>101</v>
      </c>
      <c r="K63" s="92"/>
      <c r="L63" s="94"/>
      <c r="M63" s="99">
        <v>2914</v>
      </c>
      <c r="N63" s="97">
        <v>0.06</v>
      </c>
      <c r="O63" s="99" t="s">
        <v>346</v>
      </c>
      <c r="P63" s="99">
        <v>2914</v>
      </c>
      <c r="Q63" s="99" t="s">
        <v>346</v>
      </c>
      <c r="R63" s="92" t="s">
        <v>124</v>
      </c>
      <c r="S63" s="92" t="s">
        <v>98</v>
      </c>
      <c r="T63" s="94" t="s">
        <v>130</v>
      </c>
      <c r="U63" s="94" t="s">
        <v>107</v>
      </c>
    </row>
    <row r="64" s="86" customFormat="1" ht="16.5" spans="1:21">
      <c r="A64" s="91" t="s">
        <v>350</v>
      </c>
      <c r="B64" s="91" t="s">
        <v>351</v>
      </c>
      <c r="C64" s="92" t="s">
        <v>352</v>
      </c>
      <c r="D64" s="93" t="s">
        <v>353</v>
      </c>
      <c r="E64" s="91" t="s">
        <v>98</v>
      </c>
      <c r="F64" s="91" t="s">
        <v>349</v>
      </c>
      <c r="G64" s="94" t="s">
        <v>126</v>
      </c>
      <c r="H64" s="92" t="s">
        <v>126</v>
      </c>
      <c r="I64" s="92" t="s">
        <v>354</v>
      </c>
      <c r="J64" s="92" t="s">
        <v>101</v>
      </c>
      <c r="K64" s="92"/>
      <c r="L64" s="94"/>
      <c r="M64" s="99">
        <v>1708</v>
      </c>
      <c r="N64" s="97">
        <v>0.06</v>
      </c>
      <c r="O64" s="99" t="s">
        <v>355</v>
      </c>
      <c r="P64" s="99">
        <v>1708</v>
      </c>
      <c r="Q64" s="99" t="s">
        <v>355</v>
      </c>
      <c r="R64" s="92" t="s">
        <v>124</v>
      </c>
      <c r="S64" s="92" t="s">
        <v>124</v>
      </c>
      <c r="T64" s="94" t="s">
        <v>130</v>
      </c>
      <c r="U64" s="94" t="s">
        <v>107</v>
      </c>
    </row>
    <row r="65" s="86" customFormat="1" ht="16.5" spans="1:21">
      <c r="A65" s="91" t="s">
        <v>350</v>
      </c>
      <c r="B65" s="91" t="s">
        <v>351</v>
      </c>
      <c r="C65" s="92" t="s">
        <v>356</v>
      </c>
      <c r="D65" s="93" t="s">
        <v>357</v>
      </c>
      <c r="E65" s="91" t="s">
        <v>124</v>
      </c>
      <c r="F65" s="91" t="s">
        <v>125</v>
      </c>
      <c r="G65" s="94" t="s">
        <v>126</v>
      </c>
      <c r="H65" s="92" t="s">
        <v>126</v>
      </c>
      <c r="I65" s="92"/>
      <c r="J65" s="92"/>
      <c r="K65" s="92"/>
      <c r="L65" s="94"/>
      <c r="M65" s="99">
        <v>9999</v>
      </c>
      <c r="N65" s="97">
        <v>0.13</v>
      </c>
      <c r="O65" s="99" t="s">
        <v>357</v>
      </c>
      <c r="P65" s="99">
        <v>9999</v>
      </c>
      <c r="Q65" s="99" t="s">
        <v>357</v>
      </c>
      <c r="R65" s="92" t="s">
        <v>124</v>
      </c>
      <c r="S65" s="92" t="s">
        <v>124</v>
      </c>
      <c r="T65" s="94" t="s">
        <v>130</v>
      </c>
      <c r="U65" s="94" t="s">
        <v>107</v>
      </c>
    </row>
    <row r="66" s="86" customFormat="1" ht="16.5" spans="1:21">
      <c r="A66" s="91" t="s">
        <v>350</v>
      </c>
      <c r="B66" s="91" t="s">
        <v>351</v>
      </c>
      <c r="C66" s="92" t="s">
        <v>358</v>
      </c>
      <c r="D66" s="93" t="s">
        <v>359</v>
      </c>
      <c r="E66" s="91" t="s">
        <v>98</v>
      </c>
      <c r="F66" s="91" t="s">
        <v>349</v>
      </c>
      <c r="G66" s="94" t="s">
        <v>126</v>
      </c>
      <c r="H66" s="92" t="s">
        <v>126</v>
      </c>
      <c r="I66" s="92" t="s">
        <v>354</v>
      </c>
      <c r="J66" s="92" t="s">
        <v>101</v>
      </c>
      <c r="K66" s="92"/>
      <c r="L66" s="94"/>
      <c r="M66" s="99">
        <v>2408</v>
      </c>
      <c r="N66" s="97">
        <v>0.06</v>
      </c>
      <c r="O66" s="99" t="s">
        <v>360</v>
      </c>
      <c r="P66" s="99">
        <v>2408</v>
      </c>
      <c r="Q66" s="99" t="s">
        <v>360</v>
      </c>
      <c r="R66" s="92" t="s">
        <v>124</v>
      </c>
      <c r="S66" s="92" t="s">
        <v>124</v>
      </c>
      <c r="T66" s="94" t="s">
        <v>130</v>
      </c>
      <c r="U66" s="94" t="s">
        <v>107</v>
      </c>
    </row>
    <row r="67" s="86" customFormat="1" ht="16.5" spans="1:21">
      <c r="A67" s="91" t="s">
        <v>361</v>
      </c>
      <c r="B67" s="91" t="s">
        <v>362</v>
      </c>
      <c r="C67" s="92" t="s">
        <v>363</v>
      </c>
      <c r="D67" s="93" t="s">
        <v>364</v>
      </c>
      <c r="E67" s="91" t="s">
        <v>98</v>
      </c>
      <c r="F67" s="91" t="s">
        <v>349</v>
      </c>
      <c r="G67" s="94" t="s">
        <v>126</v>
      </c>
      <c r="H67" s="92" t="s">
        <v>126</v>
      </c>
      <c r="I67" s="92" t="s">
        <v>172</v>
      </c>
      <c r="J67" s="92" t="s">
        <v>101</v>
      </c>
      <c r="K67" s="92"/>
      <c r="L67" s="94"/>
      <c r="M67" s="99">
        <v>2408</v>
      </c>
      <c r="N67" s="97">
        <v>0.06</v>
      </c>
      <c r="O67" s="99" t="s">
        <v>360</v>
      </c>
      <c r="P67" s="99">
        <v>2408</v>
      </c>
      <c r="Q67" s="99" t="s">
        <v>360</v>
      </c>
      <c r="R67" s="92" t="s">
        <v>124</v>
      </c>
      <c r="S67" s="92" t="s">
        <v>124</v>
      </c>
      <c r="T67" s="94" t="s">
        <v>130</v>
      </c>
      <c r="U67" s="94" t="s">
        <v>107</v>
      </c>
    </row>
    <row r="68" s="86" customFormat="1" ht="16.5" spans="1:21">
      <c r="A68" s="91" t="s">
        <v>361</v>
      </c>
      <c r="B68" s="91" t="s">
        <v>362</v>
      </c>
      <c r="C68" s="92" t="s">
        <v>365</v>
      </c>
      <c r="D68" s="93" t="s">
        <v>366</v>
      </c>
      <c r="E68" s="91" t="s">
        <v>98</v>
      </c>
      <c r="F68" s="91" t="s">
        <v>99</v>
      </c>
      <c r="G68" s="94" t="s">
        <v>195</v>
      </c>
      <c r="H68" s="92" t="s">
        <v>196</v>
      </c>
      <c r="I68" s="92" t="s">
        <v>172</v>
      </c>
      <c r="J68" s="92" t="s">
        <v>101</v>
      </c>
      <c r="K68" s="92"/>
      <c r="L68" s="94"/>
      <c r="M68" s="99">
        <v>1637</v>
      </c>
      <c r="N68" s="97">
        <v>0.06</v>
      </c>
      <c r="O68" s="99" t="s">
        <v>367</v>
      </c>
      <c r="P68" s="99">
        <v>1637</v>
      </c>
      <c r="Q68" s="99" t="s">
        <v>367</v>
      </c>
      <c r="R68" s="92" t="s">
        <v>98</v>
      </c>
      <c r="S68" s="92" t="s">
        <v>98</v>
      </c>
      <c r="T68" s="94" t="s">
        <v>130</v>
      </c>
      <c r="U68" s="94" t="s">
        <v>107</v>
      </c>
    </row>
    <row r="69" s="86" customFormat="1" ht="16.5" spans="1:21">
      <c r="A69" s="91" t="s">
        <v>361</v>
      </c>
      <c r="B69" s="91" t="s">
        <v>362</v>
      </c>
      <c r="C69" s="92" t="s">
        <v>368</v>
      </c>
      <c r="D69" s="93" t="s">
        <v>369</v>
      </c>
      <c r="E69" s="91" t="s">
        <v>98</v>
      </c>
      <c r="F69" s="91" t="s">
        <v>99</v>
      </c>
      <c r="G69" s="94" t="s">
        <v>195</v>
      </c>
      <c r="H69" s="92" t="s">
        <v>196</v>
      </c>
      <c r="I69" s="92" t="s">
        <v>172</v>
      </c>
      <c r="J69" s="92" t="s">
        <v>101</v>
      </c>
      <c r="K69" s="92" t="s">
        <v>370</v>
      </c>
      <c r="L69" s="94" t="s">
        <v>371</v>
      </c>
      <c r="M69" s="99">
        <v>1634</v>
      </c>
      <c r="N69" s="97">
        <v>0.06</v>
      </c>
      <c r="O69" s="99" t="s">
        <v>372</v>
      </c>
      <c r="P69" s="99">
        <v>1634</v>
      </c>
      <c r="Q69" s="99" t="s">
        <v>372</v>
      </c>
      <c r="R69" s="92" t="s">
        <v>98</v>
      </c>
      <c r="S69" s="92" t="s">
        <v>98</v>
      </c>
      <c r="T69" s="94" t="s">
        <v>130</v>
      </c>
      <c r="U69" s="94" t="s">
        <v>107</v>
      </c>
    </row>
    <row r="70" s="86" customFormat="1" ht="16.5" spans="1:21">
      <c r="A70" s="91" t="s">
        <v>361</v>
      </c>
      <c r="B70" s="91" t="s">
        <v>362</v>
      </c>
      <c r="C70" s="92" t="s">
        <v>373</v>
      </c>
      <c r="D70" s="93" t="s">
        <v>374</v>
      </c>
      <c r="E70" s="91" t="s">
        <v>98</v>
      </c>
      <c r="F70" s="91" t="s">
        <v>99</v>
      </c>
      <c r="G70" s="94" t="s">
        <v>195</v>
      </c>
      <c r="H70" s="92" t="s">
        <v>196</v>
      </c>
      <c r="I70" s="92" t="s">
        <v>172</v>
      </c>
      <c r="J70" s="92" t="s">
        <v>101</v>
      </c>
      <c r="K70" s="92" t="s">
        <v>375</v>
      </c>
      <c r="L70" s="94" t="s">
        <v>376</v>
      </c>
      <c r="M70" s="99">
        <v>1625</v>
      </c>
      <c r="N70" s="97">
        <v>0.06</v>
      </c>
      <c r="O70" s="99" t="s">
        <v>377</v>
      </c>
      <c r="P70" s="99">
        <v>1625</v>
      </c>
      <c r="Q70" s="99" t="s">
        <v>377</v>
      </c>
      <c r="R70" s="92" t="s">
        <v>98</v>
      </c>
      <c r="S70" s="92" t="s">
        <v>98</v>
      </c>
      <c r="T70" s="94" t="s">
        <v>130</v>
      </c>
      <c r="U70" s="94" t="s">
        <v>107</v>
      </c>
    </row>
    <row r="71" s="86" customFormat="1" ht="16.5" spans="1:21">
      <c r="A71" s="91" t="s">
        <v>361</v>
      </c>
      <c r="B71" s="91" t="s">
        <v>362</v>
      </c>
      <c r="C71" s="92" t="s">
        <v>378</v>
      </c>
      <c r="D71" s="93" t="s">
        <v>379</v>
      </c>
      <c r="E71" s="91" t="s">
        <v>98</v>
      </c>
      <c r="F71" s="91" t="s">
        <v>99</v>
      </c>
      <c r="G71" s="94" t="s">
        <v>195</v>
      </c>
      <c r="H71" s="92" t="s">
        <v>196</v>
      </c>
      <c r="I71" s="92" t="s">
        <v>172</v>
      </c>
      <c r="J71" s="92" t="s">
        <v>101</v>
      </c>
      <c r="K71" s="92" t="s">
        <v>380</v>
      </c>
      <c r="L71" s="94" t="s">
        <v>381</v>
      </c>
      <c r="M71" s="99">
        <v>1622</v>
      </c>
      <c r="N71" s="97">
        <v>0.06</v>
      </c>
      <c r="O71" s="99" t="s">
        <v>382</v>
      </c>
      <c r="P71" s="99">
        <v>1622</v>
      </c>
      <c r="Q71" s="99" t="s">
        <v>382</v>
      </c>
      <c r="R71" s="92" t="s">
        <v>98</v>
      </c>
      <c r="S71" s="92" t="s">
        <v>98</v>
      </c>
      <c r="T71" s="94" t="s">
        <v>130</v>
      </c>
      <c r="U71" s="94" t="s">
        <v>107</v>
      </c>
    </row>
    <row r="72" s="86" customFormat="1" ht="16.5" spans="1:21">
      <c r="A72" s="91" t="s">
        <v>361</v>
      </c>
      <c r="B72" s="91" t="s">
        <v>362</v>
      </c>
      <c r="C72" s="92" t="s">
        <v>383</v>
      </c>
      <c r="D72" s="93" t="s">
        <v>384</v>
      </c>
      <c r="E72" s="91" t="s">
        <v>98</v>
      </c>
      <c r="F72" s="91" t="s">
        <v>99</v>
      </c>
      <c r="G72" s="94" t="s">
        <v>195</v>
      </c>
      <c r="H72" s="92" t="s">
        <v>196</v>
      </c>
      <c r="I72" s="92" t="s">
        <v>172</v>
      </c>
      <c r="J72" s="92" t="s">
        <v>101</v>
      </c>
      <c r="K72" s="92" t="s">
        <v>380</v>
      </c>
      <c r="L72" s="94" t="s">
        <v>381</v>
      </c>
      <c r="M72" s="99">
        <v>1622</v>
      </c>
      <c r="N72" s="97">
        <v>0.06</v>
      </c>
      <c r="O72" s="99" t="s">
        <v>382</v>
      </c>
      <c r="P72" s="99">
        <v>1622</v>
      </c>
      <c r="Q72" s="99" t="s">
        <v>382</v>
      </c>
      <c r="R72" s="92" t="s">
        <v>98</v>
      </c>
      <c r="S72" s="92" t="s">
        <v>98</v>
      </c>
      <c r="T72" s="94" t="s">
        <v>130</v>
      </c>
      <c r="U72" s="94" t="s">
        <v>107</v>
      </c>
    </row>
    <row r="73" s="86" customFormat="1" ht="16.5" spans="1:21">
      <c r="A73" s="91" t="s">
        <v>361</v>
      </c>
      <c r="B73" s="91" t="s">
        <v>362</v>
      </c>
      <c r="C73" s="92" t="s">
        <v>385</v>
      </c>
      <c r="D73" s="93" t="s">
        <v>386</v>
      </c>
      <c r="E73" s="91" t="s">
        <v>98</v>
      </c>
      <c r="F73" s="91" t="s">
        <v>99</v>
      </c>
      <c r="G73" s="94" t="s">
        <v>195</v>
      </c>
      <c r="H73" s="92" t="s">
        <v>196</v>
      </c>
      <c r="I73" s="92" t="s">
        <v>172</v>
      </c>
      <c r="J73" s="92" t="s">
        <v>101</v>
      </c>
      <c r="K73" s="92" t="s">
        <v>370</v>
      </c>
      <c r="L73" s="94" t="s">
        <v>371</v>
      </c>
      <c r="M73" s="99">
        <v>1628</v>
      </c>
      <c r="N73" s="97">
        <v>0.06</v>
      </c>
      <c r="O73" s="99" t="s">
        <v>387</v>
      </c>
      <c r="P73" s="99">
        <v>1628</v>
      </c>
      <c r="Q73" s="99" t="s">
        <v>387</v>
      </c>
      <c r="R73" s="92" t="s">
        <v>98</v>
      </c>
      <c r="S73" s="92" t="s">
        <v>98</v>
      </c>
      <c r="T73" s="94" t="s">
        <v>130</v>
      </c>
      <c r="U73" s="94" t="s">
        <v>107</v>
      </c>
    </row>
    <row r="74" s="86" customFormat="1" ht="16.5" spans="1:21">
      <c r="A74" s="91" t="s">
        <v>361</v>
      </c>
      <c r="B74" s="91" t="s">
        <v>362</v>
      </c>
      <c r="C74" s="92" t="s">
        <v>388</v>
      </c>
      <c r="D74" s="93" t="s">
        <v>389</v>
      </c>
      <c r="E74" s="91" t="s">
        <v>98</v>
      </c>
      <c r="F74" s="91" t="s">
        <v>99</v>
      </c>
      <c r="G74" s="94" t="s">
        <v>179</v>
      </c>
      <c r="H74" s="92" t="s">
        <v>390</v>
      </c>
      <c r="I74" s="92" t="s">
        <v>101</v>
      </c>
      <c r="J74" s="92" t="s">
        <v>101</v>
      </c>
      <c r="K74" s="92"/>
      <c r="L74" s="94"/>
      <c r="M74" s="99">
        <v>1653</v>
      </c>
      <c r="N74" s="97">
        <v>0.06</v>
      </c>
      <c r="O74" s="99" t="s">
        <v>391</v>
      </c>
      <c r="P74" s="99">
        <v>1653</v>
      </c>
      <c r="Q74" s="99" t="s">
        <v>391</v>
      </c>
      <c r="R74" s="92" t="s">
        <v>98</v>
      </c>
      <c r="S74" s="92" t="s">
        <v>98</v>
      </c>
      <c r="T74" s="94" t="s">
        <v>130</v>
      </c>
      <c r="U74" s="94" t="s">
        <v>107</v>
      </c>
    </row>
    <row r="75" s="86" customFormat="1" ht="16.5" spans="1:21">
      <c r="A75" s="91" t="s">
        <v>361</v>
      </c>
      <c r="B75" s="91" t="s">
        <v>362</v>
      </c>
      <c r="C75" s="92" t="s">
        <v>392</v>
      </c>
      <c r="D75" s="93" t="s">
        <v>393</v>
      </c>
      <c r="E75" s="91" t="s">
        <v>98</v>
      </c>
      <c r="F75" s="91" t="s">
        <v>349</v>
      </c>
      <c r="G75" s="94" t="s">
        <v>179</v>
      </c>
      <c r="H75" s="92" t="s">
        <v>394</v>
      </c>
      <c r="I75" s="92" t="s">
        <v>354</v>
      </c>
      <c r="J75" s="92" t="s">
        <v>101</v>
      </c>
      <c r="K75" s="92"/>
      <c r="L75" s="94"/>
      <c r="M75" s="99">
        <v>1706</v>
      </c>
      <c r="N75" s="97">
        <v>0.06</v>
      </c>
      <c r="O75" s="99" t="s">
        <v>395</v>
      </c>
      <c r="P75" s="99">
        <v>1706</v>
      </c>
      <c r="Q75" s="99" t="s">
        <v>395</v>
      </c>
      <c r="R75" s="92" t="s">
        <v>124</v>
      </c>
      <c r="S75" s="92" t="s">
        <v>98</v>
      </c>
      <c r="T75" s="94" t="s">
        <v>130</v>
      </c>
      <c r="U75" s="94" t="s">
        <v>107</v>
      </c>
    </row>
    <row r="76" s="86" customFormat="1" ht="16.5" spans="1:21">
      <c r="A76" s="91" t="s">
        <v>361</v>
      </c>
      <c r="B76" s="91" t="s">
        <v>362</v>
      </c>
      <c r="C76" s="92" t="s">
        <v>396</v>
      </c>
      <c r="D76" s="93" t="s">
        <v>397</v>
      </c>
      <c r="E76" s="91" t="s">
        <v>124</v>
      </c>
      <c r="F76" s="91" t="s">
        <v>99</v>
      </c>
      <c r="G76" s="94" t="s">
        <v>179</v>
      </c>
      <c r="H76" s="92" t="s">
        <v>398</v>
      </c>
      <c r="I76" s="92" t="s">
        <v>172</v>
      </c>
      <c r="J76" s="92" t="s">
        <v>101</v>
      </c>
      <c r="K76" s="92"/>
      <c r="L76" s="94"/>
      <c r="M76" s="99">
        <v>1653</v>
      </c>
      <c r="N76" s="97">
        <v>0.06</v>
      </c>
      <c r="O76" s="99" t="s">
        <v>391</v>
      </c>
      <c r="P76" s="99">
        <v>1653</v>
      </c>
      <c r="Q76" s="99" t="s">
        <v>391</v>
      </c>
      <c r="R76" s="92" t="s">
        <v>98</v>
      </c>
      <c r="S76" s="92" t="s">
        <v>98</v>
      </c>
      <c r="T76" s="94" t="s">
        <v>130</v>
      </c>
      <c r="U76" s="94" t="s">
        <v>107</v>
      </c>
    </row>
    <row r="77" s="86" customFormat="1" ht="16.5" spans="1:21">
      <c r="A77" s="91" t="s">
        <v>361</v>
      </c>
      <c r="B77" s="91" t="s">
        <v>362</v>
      </c>
      <c r="C77" s="92" t="s">
        <v>399</v>
      </c>
      <c r="D77" s="93" t="s">
        <v>400</v>
      </c>
      <c r="E77" s="91" t="s">
        <v>98</v>
      </c>
      <c r="F77" s="91" t="s">
        <v>99</v>
      </c>
      <c r="G77" s="94" t="s">
        <v>126</v>
      </c>
      <c r="H77" s="92" t="s">
        <v>126</v>
      </c>
      <c r="I77" s="92" t="s">
        <v>401</v>
      </c>
      <c r="J77" s="92" t="s">
        <v>101</v>
      </c>
      <c r="K77" s="92"/>
      <c r="L77" s="94"/>
      <c r="M77" s="99">
        <v>1678</v>
      </c>
      <c r="N77" s="97">
        <v>0.06</v>
      </c>
      <c r="O77" s="99" t="s">
        <v>402</v>
      </c>
      <c r="P77" s="99">
        <v>1678</v>
      </c>
      <c r="Q77" s="99" t="s">
        <v>402</v>
      </c>
      <c r="R77" s="92" t="s">
        <v>98</v>
      </c>
      <c r="S77" s="92" t="s">
        <v>98</v>
      </c>
      <c r="T77" s="94" t="s">
        <v>130</v>
      </c>
      <c r="U77" s="94" t="s">
        <v>107</v>
      </c>
    </row>
    <row r="78" s="86" customFormat="1" ht="16.5" spans="1:21">
      <c r="A78" s="91" t="s">
        <v>361</v>
      </c>
      <c r="B78" s="91" t="s">
        <v>362</v>
      </c>
      <c r="C78" s="92" t="s">
        <v>403</v>
      </c>
      <c r="D78" s="93" t="s">
        <v>404</v>
      </c>
      <c r="E78" s="91" t="s">
        <v>98</v>
      </c>
      <c r="F78" s="91" t="s">
        <v>99</v>
      </c>
      <c r="G78" s="94" t="s">
        <v>405</v>
      </c>
      <c r="H78" s="92" t="s">
        <v>406</v>
      </c>
      <c r="I78" s="92" t="s">
        <v>172</v>
      </c>
      <c r="J78" s="92" t="s">
        <v>101</v>
      </c>
      <c r="K78" s="92" t="s">
        <v>407</v>
      </c>
      <c r="L78" s="94" t="s">
        <v>408</v>
      </c>
      <c r="M78" s="99">
        <v>1640</v>
      </c>
      <c r="N78" s="97">
        <v>0.06</v>
      </c>
      <c r="O78" s="99" t="s">
        <v>409</v>
      </c>
      <c r="P78" s="99">
        <v>1640</v>
      </c>
      <c r="Q78" s="99" t="s">
        <v>409</v>
      </c>
      <c r="R78" s="92" t="s">
        <v>98</v>
      </c>
      <c r="S78" s="92" t="s">
        <v>98</v>
      </c>
      <c r="T78" s="94" t="s">
        <v>130</v>
      </c>
      <c r="U78" s="94" t="s">
        <v>107</v>
      </c>
    </row>
    <row r="79" s="86" customFormat="1" ht="16.5" spans="1:21">
      <c r="A79" s="91" t="s">
        <v>361</v>
      </c>
      <c r="B79" s="91" t="s">
        <v>362</v>
      </c>
      <c r="C79" s="92" t="s">
        <v>410</v>
      </c>
      <c r="D79" s="93" t="s">
        <v>411</v>
      </c>
      <c r="E79" s="91" t="s">
        <v>98</v>
      </c>
      <c r="F79" s="91" t="s">
        <v>99</v>
      </c>
      <c r="G79" s="94"/>
      <c r="H79" s="92"/>
      <c r="I79" s="92" t="s">
        <v>172</v>
      </c>
      <c r="J79" s="92" t="s">
        <v>101</v>
      </c>
      <c r="K79" s="92"/>
      <c r="L79" s="94"/>
      <c r="M79" s="99">
        <v>1912</v>
      </c>
      <c r="N79" s="97">
        <v>0.06</v>
      </c>
      <c r="O79" s="99" t="s">
        <v>412</v>
      </c>
      <c r="P79" s="99">
        <v>1912</v>
      </c>
      <c r="Q79" s="99" t="s">
        <v>412</v>
      </c>
      <c r="R79" s="92" t="s">
        <v>98</v>
      </c>
      <c r="S79" s="92" t="s">
        <v>98</v>
      </c>
      <c r="T79" s="94" t="s">
        <v>130</v>
      </c>
      <c r="U79" s="94" t="s">
        <v>107</v>
      </c>
    </row>
    <row r="80" s="86" customFormat="1" ht="16.5" spans="1:21">
      <c r="A80" s="91" t="s">
        <v>361</v>
      </c>
      <c r="B80" s="91" t="s">
        <v>362</v>
      </c>
      <c r="C80" s="92" t="s">
        <v>413</v>
      </c>
      <c r="D80" s="93" t="s">
        <v>414</v>
      </c>
      <c r="E80" s="91" t="s">
        <v>98</v>
      </c>
      <c r="F80" s="91" t="s">
        <v>99</v>
      </c>
      <c r="G80" s="94"/>
      <c r="H80" s="92"/>
      <c r="I80" s="92" t="s">
        <v>172</v>
      </c>
      <c r="J80" s="92" t="s">
        <v>101</v>
      </c>
      <c r="K80" s="92"/>
      <c r="L80" s="94"/>
      <c r="M80" s="99">
        <v>1913</v>
      </c>
      <c r="N80" s="97">
        <v>0.06</v>
      </c>
      <c r="O80" s="99" t="s">
        <v>415</v>
      </c>
      <c r="P80" s="99">
        <v>1913</v>
      </c>
      <c r="Q80" s="99" t="s">
        <v>415</v>
      </c>
      <c r="R80" s="92" t="s">
        <v>98</v>
      </c>
      <c r="S80" s="92" t="s">
        <v>98</v>
      </c>
      <c r="T80" s="94" t="s">
        <v>130</v>
      </c>
      <c r="U80" s="94" t="s">
        <v>107</v>
      </c>
    </row>
    <row r="81" s="86" customFormat="1" ht="16.5" spans="1:21">
      <c r="A81" s="91" t="s">
        <v>361</v>
      </c>
      <c r="B81" s="91" t="s">
        <v>362</v>
      </c>
      <c r="C81" s="92" t="s">
        <v>416</v>
      </c>
      <c r="D81" s="93" t="s">
        <v>417</v>
      </c>
      <c r="E81" s="91" t="s">
        <v>98</v>
      </c>
      <c r="F81" s="91" t="s">
        <v>99</v>
      </c>
      <c r="G81" s="94"/>
      <c r="H81" s="92"/>
      <c r="I81" s="92" t="s">
        <v>172</v>
      </c>
      <c r="J81" s="92" t="s">
        <v>101</v>
      </c>
      <c r="K81" s="92"/>
      <c r="L81" s="94"/>
      <c r="M81" s="99">
        <v>1914</v>
      </c>
      <c r="N81" s="97">
        <v>0.06</v>
      </c>
      <c r="O81" s="99" t="s">
        <v>418</v>
      </c>
      <c r="P81" s="99">
        <v>1914</v>
      </c>
      <c r="Q81" s="99" t="s">
        <v>418</v>
      </c>
      <c r="R81" s="92" t="s">
        <v>98</v>
      </c>
      <c r="S81" s="92" t="s">
        <v>98</v>
      </c>
      <c r="T81" s="94" t="s">
        <v>130</v>
      </c>
      <c r="U81" s="94" t="s">
        <v>107</v>
      </c>
    </row>
    <row r="82" s="86" customFormat="1" ht="16.5" spans="1:21">
      <c r="A82" s="91" t="s">
        <v>361</v>
      </c>
      <c r="B82" s="91" t="s">
        <v>362</v>
      </c>
      <c r="C82" s="92" t="s">
        <v>419</v>
      </c>
      <c r="D82" s="93" t="s">
        <v>420</v>
      </c>
      <c r="E82" s="91" t="s">
        <v>98</v>
      </c>
      <c r="F82" s="91" t="s">
        <v>99</v>
      </c>
      <c r="G82" s="94"/>
      <c r="H82" s="92"/>
      <c r="I82" s="92" t="s">
        <v>172</v>
      </c>
      <c r="J82" s="92" t="s">
        <v>101</v>
      </c>
      <c r="K82" s="92"/>
      <c r="L82" s="94"/>
      <c r="M82" s="99">
        <v>1915</v>
      </c>
      <c r="N82" s="97">
        <v>0.06</v>
      </c>
      <c r="O82" s="99" t="s">
        <v>421</v>
      </c>
      <c r="P82" s="99">
        <v>1915</v>
      </c>
      <c r="Q82" s="99" t="s">
        <v>421</v>
      </c>
      <c r="R82" s="92" t="s">
        <v>98</v>
      </c>
      <c r="S82" s="92" t="s">
        <v>98</v>
      </c>
      <c r="T82" s="94" t="s">
        <v>130</v>
      </c>
      <c r="U82" s="94" t="s">
        <v>107</v>
      </c>
    </row>
    <row r="83" s="86" customFormat="1" ht="16.5" spans="1:21">
      <c r="A83" s="91" t="s">
        <v>361</v>
      </c>
      <c r="B83" s="91" t="s">
        <v>362</v>
      </c>
      <c r="C83" s="92" t="s">
        <v>422</v>
      </c>
      <c r="D83" s="93" t="s">
        <v>423</v>
      </c>
      <c r="E83" s="91" t="s">
        <v>98</v>
      </c>
      <c r="F83" s="91" t="s">
        <v>99</v>
      </c>
      <c r="G83" s="94"/>
      <c r="H83" s="92"/>
      <c r="I83" s="92" t="s">
        <v>172</v>
      </c>
      <c r="J83" s="92" t="s">
        <v>101</v>
      </c>
      <c r="K83" s="92"/>
      <c r="L83" s="94"/>
      <c r="M83" s="96" t="s">
        <v>424</v>
      </c>
      <c r="N83" s="97">
        <v>0.09</v>
      </c>
      <c r="O83" s="98" t="s">
        <v>425</v>
      </c>
      <c r="P83" s="99" t="s">
        <v>426</v>
      </c>
      <c r="Q83" s="99" t="s">
        <v>427</v>
      </c>
      <c r="R83" s="92" t="s">
        <v>98</v>
      </c>
      <c r="S83" s="92" t="s">
        <v>98</v>
      </c>
      <c r="T83" s="94" t="s">
        <v>106</v>
      </c>
      <c r="U83" s="94" t="s">
        <v>107</v>
      </c>
    </row>
    <row r="84" s="86" customFormat="1" ht="16.5" spans="1:21">
      <c r="A84" s="91" t="s">
        <v>361</v>
      </c>
      <c r="B84" s="91" t="s">
        <v>362</v>
      </c>
      <c r="C84" s="92" t="s">
        <v>428</v>
      </c>
      <c r="D84" s="93" t="s">
        <v>429</v>
      </c>
      <c r="E84" s="91" t="s">
        <v>98</v>
      </c>
      <c r="F84" s="91" t="s">
        <v>349</v>
      </c>
      <c r="G84" s="94"/>
      <c r="H84" s="92"/>
      <c r="I84" s="92" t="s">
        <v>172</v>
      </c>
      <c r="J84" s="92" t="s">
        <v>101</v>
      </c>
      <c r="K84" s="92"/>
      <c r="L84" s="94"/>
      <c r="M84" s="99"/>
      <c r="N84" s="97"/>
      <c r="O84" s="99"/>
      <c r="P84" s="99"/>
      <c r="Q84" s="99"/>
      <c r="R84" s="92" t="s">
        <v>124</v>
      </c>
      <c r="S84" s="92" t="s">
        <v>98</v>
      </c>
      <c r="T84" s="94" t="s">
        <v>130</v>
      </c>
      <c r="U84" s="94" t="s">
        <v>107</v>
      </c>
    </row>
    <row r="85" s="86" customFormat="1" ht="16.5" spans="1:21">
      <c r="A85" s="91" t="s">
        <v>361</v>
      </c>
      <c r="B85" s="91" t="s">
        <v>362</v>
      </c>
      <c r="C85" s="92" t="s">
        <v>430</v>
      </c>
      <c r="D85" s="93" t="s">
        <v>431</v>
      </c>
      <c r="E85" s="91" t="s">
        <v>98</v>
      </c>
      <c r="F85" s="91" t="s">
        <v>349</v>
      </c>
      <c r="G85" s="94"/>
      <c r="H85" s="92"/>
      <c r="I85" s="92" t="s">
        <v>172</v>
      </c>
      <c r="J85" s="92" t="s">
        <v>101</v>
      </c>
      <c r="K85" s="92"/>
      <c r="L85" s="94"/>
      <c r="M85" s="99">
        <v>1986</v>
      </c>
      <c r="N85" s="97">
        <v>0.06</v>
      </c>
      <c r="O85" s="99" t="s">
        <v>432</v>
      </c>
      <c r="P85" s="99">
        <v>1986</v>
      </c>
      <c r="Q85" s="99" t="s">
        <v>432</v>
      </c>
      <c r="R85" s="92" t="s">
        <v>124</v>
      </c>
      <c r="S85" s="92" t="s">
        <v>98</v>
      </c>
      <c r="T85" s="94" t="s">
        <v>130</v>
      </c>
      <c r="U85" s="94" t="s">
        <v>107</v>
      </c>
    </row>
    <row r="86" s="86" customFormat="1" ht="16.5" spans="1:21">
      <c r="A86" s="91" t="s">
        <v>361</v>
      </c>
      <c r="B86" s="91" t="s">
        <v>433</v>
      </c>
      <c r="C86" s="92" t="s">
        <v>434</v>
      </c>
      <c r="D86" s="93" t="s">
        <v>435</v>
      </c>
      <c r="E86" s="91" t="s">
        <v>98</v>
      </c>
      <c r="F86" s="91" t="s">
        <v>99</v>
      </c>
      <c r="G86" s="94"/>
      <c r="H86" s="92"/>
      <c r="I86" s="92" t="s">
        <v>433</v>
      </c>
      <c r="J86" s="92" t="s">
        <v>101</v>
      </c>
      <c r="K86" s="92"/>
      <c r="L86" s="94"/>
      <c r="M86" s="99">
        <v>1966</v>
      </c>
      <c r="N86" s="97">
        <v>0.06</v>
      </c>
      <c r="O86" s="100" t="s">
        <v>436</v>
      </c>
      <c r="P86" s="99">
        <v>1966</v>
      </c>
      <c r="Q86" s="99" t="s">
        <v>436</v>
      </c>
      <c r="R86" s="92" t="s">
        <v>98</v>
      </c>
      <c r="S86" s="92" t="s">
        <v>124</v>
      </c>
      <c r="T86" s="94" t="s">
        <v>130</v>
      </c>
      <c r="U86" s="94" t="s">
        <v>107</v>
      </c>
    </row>
    <row r="87" s="86" customFormat="1" ht="16.5" spans="1:21">
      <c r="A87" s="91" t="s">
        <v>361</v>
      </c>
      <c r="B87" s="91" t="s">
        <v>362</v>
      </c>
      <c r="C87" s="92" t="s">
        <v>437</v>
      </c>
      <c r="D87" s="93" t="s">
        <v>438</v>
      </c>
      <c r="E87" s="91" t="s">
        <v>98</v>
      </c>
      <c r="F87" s="91" t="s">
        <v>99</v>
      </c>
      <c r="G87" s="94"/>
      <c r="H87" s="92"/>
      <c r="I87" s="92" t="s">
        <v>172</v>
      </c>
      <c r="J87" s="92" t="s">
        <v>101</v>
      </c>
      <c r="K87" s="92"/>
      <c r="L87" s="94"/>
      <c r="M87" s="99">
        <v>1946</v>
      </c>
      <c r="N87" s="97">
        <v>0.06</v>
      </c>
      <c r="O87" s="99" t="s">
        <v>439</v>
      </c>
      <c r="P87" s="99">
        <v>1946</v>
      </c>
      <c r="Q87" s="99" t="s">
        <v>439</v>
      </c>
      <c r="R87" s="92" t="s">
        <v>98</v>
      </c>
      <c r="S87" s="92" t="s">
        <v>98</v>
      </c>
      <c r="T87" s="94" t="s">
        <v>130</v>
      </c>
      <c r="U87" s="94" t="s">
        <v>107</v>
      </c>
    </row>
    <row r="88" s="86" customFormat="1" ht="16.5" spans="1:21">
      <c r="A88" s="91" t="s">
        <v>361</v>
      </c>
      <c r="B88" s="91" t="s">
        <v>362</v>
      </c>
      <c r="C88" s="92" t="s">
        <v>440</v>
      </c>
      <c r="D88" s="93" t="s">
        <v>441</v>
      </c>
      <c r="E88" s="91" t="s">
        <v>98</v>
      </c>
      <c r="F88" s="91" t="s">
        <v>99</v>
      </c>
      <c r="G88" s="94"/>
      <c r="H88" s="92"/>
      <c r="I88" s="92" t="s">
        <v>172</v>
      </c>
      <c r="J88" s="92" t="s">
        <v>101</v>
      </c>
      <c r="K88" s="92"/>
      <c r="L88" s="94"/>
      <c r="M88" s="99">
        <v>1949</v>
      </c>
      <c r="N88" s="97">
        <v>0.06</v>
      </c>
      <c r="O88" s="99" t="s">
        <v>442</v>
      </c>
      <c r="P88" s="99">
        <v>1949</v>
      </c>
      <c r="Q88" s="99" t="s">
        <v>442</v>
      </c>
      <c r="R88" s="92" t="s">
        <v>98</v>
      </c>
      <c r="S88" s="92" t="s">
        <v>98</v>
      </c>
      <c r="T88" s="94" t="s">
        <v>130</v>
      </c>
      <c r="U88" s="94" t="s">
        <v>107</v>
      </c>
    </row>
    <row r="89" s="86" customFormat="1" ht="16.5" spans="1:21">
      <c r="A89" s="91" t="s">
        <v>361</v>
      </c>
      <c r="B89" s="91" t="s">
        <v>362</v>
      </c>
      <c r="C89" s="92" t="s">
        <v>443</v>
      </c>
      <c r="D89" s="93" t="s">
        <v>444</v>
      </c>
      <c r="E89" s="91" t="s">
        <v>98</v>
      </c>
      <c r="F89" s="91" t="s">
        <v>99</v>
      </c>
      <c r="G89" s="94"/>
      <c r="H89" s="92"/>
      <c r="I89" s="92" t="s">
        <v>172</v>
      </c>
      <c r="J89" s="92" t="s">
        <v>101</v>
      </c>
      <c r="K89" s="92"/>
      <c r="L89" s="94"/>
      <c r="M89" s="99">
        <v>1949</v>
      </c>
      <c r="N89" s="97">
        <v>0.06</v>
      </c>
      <c r="O89" s="99" t="s">
        <v>442</v>
      </c>
      <c r="P89" s="99">
        <v>1949</v>
      </c>
      <c r="Q89" s="99" t="s">
        <v>442</v>
      </c>
      <c r="R89" s="92" t="s">
        <v>98</v>
      </c>
      <c r="S89" s="92" t="s">
        <v>98</v>
      </c>
      <c r="T89" s="94" t="s">
        <v>130</v>
      </c>
      <c r="U89" s="94" t="s">
        <v>107</v>
      </c>
    </row>
    <row r="90" s="86" customFormat="1" ht="16.5" spans="1:21">
      <c r="A90" s="91" t="s">
        <v>361</v>
      </c>
      <c r="B90" s="91" t="s">
        <v>362</v>
      </c>
      <c r="C90" s="92" t="s">
        <v>445</v>
      </c>
      <c r="D90" s="93" t="s">
        <v>446</v>
      </c>
      <c r="E90" s="91" t="s">
        <v>98</v>
      </c>
      <c r="F90" s="91" t="s">
        <v>349</v>
      </c>
      <c r="G90" s="94"/>
      <c r="H90" s="92"/>
      <c r="I90" s="92" t="s">
        <v>172</v>
      </c>
      <c r="J90" s="92" t="s">
        <v>101</v>
      </c>
      <c r="K90" s="92"/>
      <c r="L90" s="94"/>
      <c r="M90" s="99">
        <v>1949</v>
      </c>
      <c r="N90" s="97">
        <v>0.06</v>
      </c>
      <c r="O90" s="99" t="s">
        <v>442</v>
      </c>
      <c r="P90" s="99">
        <v>1949</v>
      </c>
      <c r="Q90" s="99" t="s">
        <v>442</v>
      </c>
      <c r="R90" s="92" t="s">
        <v>124</v>
      </c>
      <c r="S90" s="92" t="s">
        <v>98</v>
      </c>
      <c r="T90" s="94" t="s">
        <v>130</v>
      </c>
      <c r="U90" s="94" t="s">
        <v>107</v>
      </c>
    </row>
    <row r="91" s="86" customFormat="1" ht="16.5" spans="1:21">
      <c r="A91" s="91" t="s">
        <v>361</v>
      </c>
      <c r="B91" s="91" t="s">
        <v>362</v>
      </c>
      <c r="C91" s="92" t="s">
        <v>447</v>
      </c>
      <c r="D91" s="93" t="s">
        <v>448</v>
      </c>
      <c r="E91" s="91" t="s">
        <v>98</v>
      </c>
      <c r="F91" s="91" t="s">
        <v>349</v>
      </c>
      <c r="G91" s="94"/>
      <c r="H91" s="92"/>
      <c r="I91" s="92" t="s">
        <v>172</v>
      </c>
      <c r="J91" s="92" t="s">
        <v>101</v>
      </c>
      <c r="K91" s="92"/>
      <c r="L91" s="94"/>
      <c r="M91" s="99">
        <v>1949</v>
      </c>
      <c r="N91" s="97">
        <v>0.06</v>
      </c>
      <c r="O91" s="99" t="s">
        <v>442</v>
      </c>
      <c r="P91" s="99">
        <v>1949</v>
      </c>
      <c r="Q91" s="99" t="s">
        <v>442</v>
      </c>
      <c r="R91" s="92" t="s">
        <v>124</v>
      </c>
      <c r="S91" s="92" t="s">
        <v>98</v>
      </c>
      <c r="T91" s="94" t="s">
        <v>130</v>
      </c>
      <c r="U91" s="94" t="s">
        <v>107</v>
      </c>
    </row>
    <row r="92" s="86" customFormat="1" ht="16.5" spans="1:21">
      <c r="A92" s="91" t="s">
        <v>361</v>
      </c>
      <c r="B92" s="91" t="s">
        <v>433</v>
      </c>
      <c r="C92" s="92" t="s">
        <v>449</v>
      </c>
      <c r="D92" s="93" t="s">
        <v>450</v>
      </c>
      <c r="E92" s="91" t="s">
        <v>98</v>
      </c>
      <c r="F92" s="91" t="s">
        <v>99</v>
      </c>
      <c r="G92" s="94"/>
      <c r="H92" s="92"/>
      <c r="I92" s="92" t="s">
        <v>433</v>
      </c>
      <c r="J92" s="92"/>
      <c r="K92" s="92"/>
      <c r="L92" s="94"/>
      <c r="M92" s="99"/>
      <c r="N92" s="97"/>
      <c r="O92" s="99"/>
      <c r="P92" s="99"/>
      <c r="Q92" s="99"/>
      <c r="R92" s="92" t="s">
        <v>98</v>
      </c>
      <c r="S92" s="92" t="s">
        <v>98</v>
      </c>
      <c r="T92" s="94" t="s">
        <v>130</v>
      </c>
      <c r="U92" s="94" t="s">
        <v>107</v>
      </c>
    </row>
    <row r="93" s="86" customFormat="1" ht="16.5" spans="1:21">
      <c r="A93" s="91" t="s">
        <v>361</v>
      </c>
      <c r="B93" s="91" t="s">
        <v>433</v>
      </c>
      <c r="C93" s="92" t="s">
        <v>451</v>
      </c>
      <c r="D93" s="93" t="s">
        <v>452</v>
      </c>
      <c r="E93" s="91" t="s">
        <v>98</v>
      </c>
      <c r="F93" s="91" t="s">
        <v>99</v>
      </c>
      <c r="G93" s="94"/>
      <c r="H93" s="92"/>
      <c r="I93" s="92" t="s">
        <v>433</v>
      </c>
      <c r="J93" s="92"/>
      <c r="K93" s="92"/>
      <c r="L93" s="94"/>
      <c r="M93" s="99">
        <v>1726</v>
      </c>
      <c r="N93" s="97">
        <v>0.06</v>
      </c>
      <c r="O93" s="98" t="s">
        <v>453</v>
      </c>
      <c r="P93" s="99">
        <v>1726</v>
      </c>
      <c r="Q93" s="99" t="s">
        <v>453</v>
      </c>
      <c r="R93" s="92" t="s">
        <v>98</v>
      </c>
      <c r="S93" s="92" t="s">
        <v>98</v>
      </c>
      <c r="T93" s="94" t="s">
        <v>130</v>
      </c>
      <c r="U93" s="94" t="s">
        <v>107</v>
      </c>
    </row>
    <row r="94" s="86" customFormat="1" ht="16.5" spans="1:21">
      <c r="A94" s="91" t="s">
        <v>361</v>
      </c>
      <c r="B94" s="91" t="s">
        <v>433</v>
      </c>
      <c r="C94" s="92" t="s">
        <v>454</v>
      </c>
      <c r="D94" s="93" t="s">
        <v>455</v>
      </c>
      <c r="E94" s="91" t="s">
        <v>124</v>
      </c>
      <c r="F94" s="91" t="s">
        <v>99</v>
      </c>
      <c r="G94" s="94"/>
      <c r="H94" s="92"/>
      <c r="I94" s="92"/>
      <c r="J94" s="92"/>
      <c r="K94" s="92"/>
      <c r="L94" s="94"/>
      <c r="M94" s="99">
        <v>1966</v>
      </c>
      <c r="N94" s="97">
        <v>0.06</v>
      </c>
      <c r="O94" s="100" t="s">
        <v>436</v>
      </c>
      <c r="P94" s="99" t="s">
        <v>456</v>
      </c>
      <c r="Q94" s="99" t="s">
        <v>457</v>
      </c>
      <c r="R94" s="92" t="s">
        <v>98</v>
      </c>
      <c r="S94" s="92" t="s">
        <v>98</v>
      </c>
      <c r="T94" s="94" t="s">
        <v>130</v>
      </c>
      <c r="U94" s="94" t="s">
        <v>107</v>
      </c>
    </row>
    <row r="95" s="86" customFormat="1" ht="16.5" spans="1:21">
      <c r="A95" s="91" t="s">
        <v>361</v>
      </c>
      <c r="B95" s="91" t="s">
        <v>433</v>
      </c>
      <c r="C95" s="92" t="s">
        <v>458</v>
      </c>
      <c r="D95" s="93" t="s">
        <v>459</v>
      </c>
      <c r="E95" s="91" t="s">
        <v>98</v>
      </c>
      <c r="F95" s="91" t="s">
        <v>99</v>
      </c>
      <c r="G95" s="94"/>
      <c r="H95" s="92"/>
      <c r="I95" s="92" t="s">
        <v>460</v>
      </c>
      <c r="J95" s="92"/>
      <c r="K95" s="92"/>
      <c r="L95" s="94"/>
      <c r="M95" s="99">
        <v>1966</v>
      </c>
      <c r="N95" s="97">
        <v>0.06</v>
      </c>
      <c r="O95" s="100" t="s">
        <v>436</v>
      </c>
      <c r="P95" s="99">
        <v>1966</v>
      </c>
      <c r="Q95" s="99" t="s">
        <v>436</v>
      </c>
      <c r="R95" s="92" t="s">
        <v>98</v>
      </c>
      <c r="S95" s="92" t="s">
        <v>98</v>
      </c>
      <c r="T95" s="94" t="s">
        <v>130</v>
      </c>
      <c r="U95" s="94" t="s">
        <v>107</v>
      </c>
    </row>
    <row r="96" s="86" customFormat="1" ht="16.5" spans="1:21">
      <c r="A96" s="91" t="s">
        <v>361</v>
      </c>
      <c r="B96" s="91" t="s">
        <v>362</v>
      </c>
      <c r="C96" s="92" t="s">
        <v>461</v>
      </c>
      <c r="D96" s="93" t="s">
        <v>462</v>
      </c>
      <c r="E96" s="91" t="s">
        <v>98</v>
      </c>
      <c r="F96" s="91" t="s">
        <v>99</v>
      </c>
      <c r="G96" s="94"/>
      <c r="H96" s="92"/>
      <c r="I96" s="92" t="s">
        <v>463</v>
      </c>
      <c r="J96" s="92"/>
      <c r="K96" s="92"/>
      <c r="L96" s="94"/>
      <c r="M96" s="99">
        <v>2408</v>
      </c>
      <c r="N96" s="97">
        <v>0.06</v>
      </c>
      <c r="O96" s="99" t="s">
        <v>360</v>
      </c>
      <c r="P96" s="99">
        <v>2408</v>
      </c>
      <c r="Q96" s="99" t="s">
        <v>360</v>
      </c>
      <c r="R96" s="92" t="s">
        <v>98</v>
      </c>
      <c r="S96" s="92" t="s">
        <v>98</v>
      </c>
      <c r="T96" s="94" t="s">
        <v>130</v>
      </c>
      <c r="U96" s="94" t="s">
        <v>107</v>
      </c>
    </row>
    <row r="97" s="86" customFormat="1" ht="16.5" spans="1:21">
      <c r="A97" s="91" t="s">
        <v>361</v>
      </c>
      <c r="B97" s="91" t="s">
        <v>362</v>
      </c>
      <c r="C97" s="92" t="s">
        <v>464</v>
      </c>
      <c r="D97" s="93" t="s">
        <v>465</v>
      </c>
      <c r="E97" s="91" t="s">
        <v>98</v>
      </c>
      <c r="F97" s="91" t="s">
        <v>99</v>
      </c>
      <c r="G97" s="94"/>
      <c r="H97" s="92"/>
      <c r="I97" s="92" t="s">
        <v>463</v>
      </c>
      <c r="J97" s="92"/>
      <c r="K97" s="92"/>
      <c r="L97" s="94"/>
      <c r="M97" s="99">
        <v>2408</v>
      </c>
      <c r="N97" s="97">
        <v>0.06</v>
      </c>
      <c r="O97" s="99" t="s">
        <v>360</v>
      </c>
      <c r="P97" s="99">
        <v>2408</v>
      </c>
      <c r="Q97" s="99" t="s">
        <v>360</v>
      </c>
      <c r="R97" s="92" t="s">
        <v>98</v>
      </c>
      <c r="S97" s="92" t="s">
        <v>98</v>
      </c>
      <c r="T97" s="94" t="s">
        <v>130</v>
      </c>
      <c r="U97" s="94" t="s">
        <v>107</v>
      </c>
    </row>
    <row r="98" s="86" customFormat="1" ht="16.5" spans="1:21">
      <c r="A98" s="91" t="s">
        <v>361</v>
      </c>
      <c r="B98" s="91" t="s">
        <v>362</v>
      </c>
      <c r="C98" s="92" t="s">
        <v>466</v>
      </c>
      <c r="D98" s="93" t="s">
        <v>467</v>
      </c>
      <c r="E98" s="91" t="s">
        <v>98</v>
      </c>
      <c r="F98" s="91" t="s">
        <v>99</v>
      </c>
      <c r="G98" s="94"/>
      <c r="H98" s="92"/>
      <c r="I98" s="92" t="s">
        <v>463</v>
      </c>
      <c r="J98" s="92"/>
      <c r="K98" s="92"/>
      <c r="L98" s="94"/>
      <c r="M98" s="99">
        <v>2408</v>
      </c>
      <c r="N98" s="97">
        <v>0.06</v>
      </c>
      <c r="O98" s="99" t="s">
        <v>360</v>
      </c>
      <c r="P98" s="99">
        <v>2408</v>
      </c>
      <c r="Q98" s="99" t="s">
        <v>360</v>
      </c>
      <c r="R98" s="92" t="s">
        <v>98</v>
      </c>
      <c r="S98" s="92" t="s">
        <v>98</v>
      </c>
      <c r="T98" s="94" t="s">
        <v>130</v>
      </c>
      <c r="U98" s="94" t="s">
        <v>107</v>
      </c>
    </row>
    <row r="99" s="86" customFormat="1" ht="16.5" spans="1:21">
      <c r="A99" s="91" t="s">
        <v>361</v>
      </c>
      <c r="B99" s="91" t="s">
        <v>362</v>
      </c>
      <c r="C99" s="92" t="s">
        <v>468</v>
      </c>
      <c r="D99" s="93" t="s">
        <v>469</v>
      </c>
      <c r="E99" s="91" t="s">
        <v>98</v>
      </c>
      <c r="F99" s="91" t="s">
        <v>99</v>
      </c>
      <c r="G99" s="94"/>
      <c r="H99" s="92"/>
      <c r="I99" s="92" t="s">
        <v>463</v>
      </c>
      <c r="J99" s="92"/>
      <c r="K99" s="92"/>
      <c r="L99" s="94"/>
      <c r="M99" s="99">
        <v>2408</v>
      </c>
      <c r="N99" s="97">
        <v>0.06</v>
      </c>
      <c r="O99" s="99" t="s">
        <v>360</v>
      </c>
      <c r="P99" s="99">
        <v>2408</v>
      </c>
      <c r="Q99" s="99" t="s">
        <v>360</v>
      </c>
      <c r="R99" s="92" t="s">
        <v>98</v>
      </c>
      <c r="S99" s="92" t="s">
        <v>98</v>
      </c>
      <c r="T99" s="94" t="s">
        <v>130</v>
      </c>
      <c r="U99" s="94" t="s">
        <v>107</v>
      </c>
    </row>
    <row r="100" s="86" customFormat="1" ht="16.5" spans="1:21">
      <c r="A100" s="91" t="s">
        <v>361</v>
      </c>
      <c r="B100" s="91" t="s">
        <v>362</v>
      </c>
      <c r="C100" s="92" t="s">
        <v>470</v>
      </c>
      <c r="D100" s="93" t="s">
        <v>471</v>
      </c>
      <c r="E100" s="91" t="s">
        <v>98</v>
      </c>
      <c r="F100" s="91" t="s">
        <v>99</v>
      </c>
      <c r="G100" s="94" t="s">
        <v>195</v>
      </c>
      <c r="H100" s="92" t="s">
        <v>196</v>
      </c>
      <c r="I100" s="92" t="s">
        <v>172</v>
      </c>
      <c r="J100" s="92" t="s">
        <v>101</v>
      </c>
      <c r="K100" s="92"/>
      <c r="L100" s="94"/>
      <c r="M100" s="99">
        <v>2408</v>
      </c>
      <c r="N100" s="97">
        <v>0.06</v>
      </c>
      <c r="O100" s="99" t="s">
        <v>360</v>
      </c>
      <c r="P100" s="99">
        <v>2408</v>
      </c>
      <c r="Q100" s="99" t="s">
        <v>360</v>
      </c>
      <c r="R100" s="92" t="s">
        <v>98</v>
      </c>
      <c r="S100" s="92" t="s">
        <v>98</v>
      </c>
      <c r="T100" s="94" t="s">
        <v>130</v>
      </c>
      <c r="U100" s="94" t="s">
        <v>107</v>
      </c>
    </row>
    <row r="101" s="86" customFormat="1" ht="16.5" spans="1:21">
      <c r="A101" s="91" t="s">
        <v>361</v>
      </c>
      <c r="B101" s="91" t="s">
        <v>362</v>
      </c>
      <c r="C101" s="92" t="s">
        <v>472</v>
      </c>
      <c r="D101" s="93" t="s">
        <v>473</v>
      </c>
      <c r="E101" s="91" t="s">
        <v>98</v>
      </c>
      <c r="F101" s="91" t="s">
        <v>99</v>
      </c>
      <c r="G101" s="94" t="s">
        <v>195</v>
      </c>
      <c r="H101" s="92" t="s">
        <v>196</v>
      </c>
      <c r="I101" s="92" t="s">
        <v>172</v>
      </c>
      <c r="J101" s="92" t="s">
        <v>101</v>
      </c>
      <c r="K101" s="92" t="s">
        <v>474</v>
      </c>
      <c r="L101" s="94" t="s">
        <v>475</v>
      </c>
      <c r="M101" s="99">
        <v>2408</v>
      </c>
      <c r="N101" s="97">
        <v>0.06</v>
      </c>
      <c r="O101" s="99" t="s">
        <v>360</v>
      </c>
      <c r="P101" s="99">
        <v>2408</v>
      </c>
      <c r="Q101" s="99" t="s">
        <v>360</v>
      </c>
      <c r="R101" s="92" t="s">
        <v>98</v>
      </c>
      <c r="S101" s="92" t="s">
        <v>98</v>
      </c>
      <c r="T101" s="94" t="s">
        <v>130</v>
      </c>
      <c r="U101" s="94" t="s">
        <v>107</v>
      </c>
    </row>
    <row r="102" s="86" customFormat="1" ht="16.5" spans="1:21">
      <c r="A102" s="91" t="s">
        <v>361</v>
      </c>
      <c r="B102" s="91" t="s">
        <v>362</v>
      </c>
      <c r="C102" s="92" t="s">
        <v>476</v>
      </c>
      <c r="D102" s="93" t="s">
        <v>477</v>
      </c>
      <c r="E102" s="91" t="s">
        <v>98</v>
      </c>
      <c r="F102" s="91" t="s">
        <v>349</v>
      </c>
      <c r="G102" s="94" t="s">
        <v>195</v>
      </c>
      <c r="H102" s="92" t="s">
        <v>196</v>
      </c>
      <c r="I102" s="92" t="s">
        <v>172</v>
      </c>
      <c r="J102" s="92" t="s">
        <v>101</v>
      </c>
      <c r="K102" s="92" t="s">
        <v>474</v>
      </c>
      <c r="L102" s="94" t="s">
        <v>475</v>
      </c>
      <c r="M102" s="99">
        <v>2408</v>
      </c>
      <c r="N102" s="97">
        <v>0.06</v>
      </c>
      <c r="O102" s="99" t="s">
        <v>360</v>
      </c>
      <c r="P102" s="99">
        <v>2408</v>
      </c>
      <c r="Q102" s="99" t="s">
        <v>360</v>
      </c>
      <c r="R102" s="92" t="s">
        <v>124</v>
      </c>
      <c r="S102" s="92" t="s">
        <v>98</v>
      </c>
      <c r="T102" s="94" t="s">
        <v>130</v>
      </c>
      <c r="U102" s="94" t="s">
        <v>107</v>
      </c>
    </row>
    <row r="103" s="86" customFormat="1" ht="16.5" spans="1:21">
      <c r="A103" s="91" t="s">
        <v>361</v>
      </c>
      <c r="B103" s="91" t="s">
        <v>362</v>
      </c>
      <c r="C103" s="92" t="s">
        <v>478</v>
      </c>
      <c r="D103" s="93" t="s">
        <v>479</v>
      </c>
      <c r="E103" s="91" t="s">
        <v>98</v>
      </c>
      <c r="F103" s="91" t="s">
        <v>349</v>
      </c>
      <c r="G103" s="94" t="s">
        <v>195</v>
      </c>
      <c r="H103" s="92" t="s">
        <v>196</v>
      </c>
      <c r="I103" s="92" t="s">
        <v>172</v>
      </c>
      <c r="J103" s="92" t="s">
        <v>101</v>
      </c>
      <c r="K103" s="92" t="s">
        <v>370</v>
      </c>
      <c r="L103" s="94" t="s">
        <v>371</v>
      </c>
      <c r="M103" s="99">
        <v>2408</v>
      </c>
      <c r="N103" s="97">
        <v>0.06</v>
      </c>
      <c r="O103" s="99" t="s">
        <v>360</v>
      </c>
      <c r="P103" s="99">
        <v>2408</v>
      </c>
      <c r="Q103" s="99" t="s">
        <v>360</v>
      </c>
      <c r="R103" s="92" t="s">
        <v>124</v>
      </c>
      <c r="S103" s="92" t="s">
        <v>98</v>
      </c>
      <c r="T103" s="94" t="s">
        <v>130</v>
      </c>
      <c r="U103" s="94" t="s">
        <v>107</v>
      </c>
    </row>
    <row r="104" s="86" customFormat="1" ht="16.5" spans="1:21">
      <c r="A104" s="91" t="s">
        <v>361</v>
      </c>
      <c r="B104" s="91" t="s">
        <v>362</v>
      </c>
      <c r="C104" s="92" t="s">
        <v>480</v>
      </c>
      <c r="D104" s="93" t="s">
        <v>481</v>
      </c>
      <c r="E104" s="91" t="s">
        <v>98</v>
      </c>
      <c r="F104" s="91" t="s">
        <v>349</v>
      </c>
      <c r="G104" s="94" t="s">
        <v>195</v>
      </c>
      <c r="H104" s="92" t="s">
        <v>196</v>
      </c>
      <c r="I104" s="92" t="s">
        <v>172</v>
      </c>
      <c r="J104" s="92" t="s">
        <v>101</v>
      </c>
      <c r="K104" s="92" t="s">
        <v>482</v>
      </c>
      <c r="L104" s="94" t="s">
        <v>483</v>
      </c>
      <c r="M104" s="99">
        <v>2443</v>
      </c>
      <c r="N104" s="97">
        <v>0.06</v>
      </c>
      <c r="O104" s="99" t="s">
        <v>484</v>
      </c>
      <c r="P104" s="99">
        <v>2443</v>
      </c>
      <c r="Q104" s="99" t="s">
        <v>484</v>
      </c>
      <c r="R104" s="92" t="s">
        <v>124</v>
      </c>
      <c r="S104" s="92" t="s">
        <v>98</v>
      </c>
      <c r="T104" s="94" t="s">
        <v>130</v>
      </c>
      <c r="U104" s="94" t="s">
        <v>107</v>
      </c>
    </row>
    <row r="105" s="86" customFormat="1" ht="16.5" spans="1:21">
      <c r="A105" s="91" t="s">
        <v>361</v>
      </c>
      <c r="B105" s="91" t="s">
        <v>362</v>
      </c>
      <c r="C105" s="92" t="s">
        <v>485</v>
      </c>
      <c r="D105" s="93" t="s">
        <v>486</v>
      </c>
      <c r="E105" s="91" t="s">
        <v>98</v>
      </c>
      <c r="F105" s="91" t="s">
        <v>99</v>
      </c>
      <c r="G105" s="94" t="s">
        <v>195</v>
      </c>
      <c r="H105" s="92" t="s">
        <v>196</v>
      </c>
      <c r="I105" s="92" t="s">
        <v>172</v>
      </c>
      <c r="J105" s="92" t="s">
        <v>101</v>
      </c>
      <c r="K105" s="92"/>
      <c r="L105" s="94"/>
      <c r="M105" s="99">
        <v>2408</v>
      </c>
      <c r="N105" s="97">
        <v>0.06</v>
      </c>
      <c r="O105" s="99" t="s">
        <v>360</v>
      </c>
      <c r="P105" s="99">
        <v>2408</v>
      </c>
      <c r="Q105" s="99" t="s">
        <v>360</v>
      </c>
      <c r="R105" s="92" t="s">
        <v>98</v>
      </c>
      <c r="S105" s="92" t="s">
        <v>98</v>
      </c>
      <c r="T105" s="94" t="s">
        <v>130</v>
      </c>
      <c r="U105" s="94" t="s">
        <v>107</v>
      </c>
    </row>
    <row r="106" s="86" customFormat="1" ht="16.5" spans="1:21">
      <c r="A106" s="91" t="s">
        <v>361</v>
      </c>
      <c r="B106" s="91" t="s">
        <v>362</v>
      </c>
      <c r="C106" s="92" t="s">
        <v>487</v>
      </c>
      <c r="D106" s="93" t="s">
        <v>488</v>
      </c>
      <c r="E106" s="91" t="s">
        <v>98</v>
      </c>
      <c r="F106" s="91" t="s">
        <v>99</v>
      </c>
      <c r="G106" s="94" t="s">
        <v>195</v>
      </c>
      <c r="H106" s="92" t="s">
        <v>196</v>
      </c>
      <c r="I106" s="92" t="s">
        <v>172</v>
      </c>
      <c r="J106" s="92" t="s">
        <v>101</v>
      </c>
      <c r="K106" s="92" t="s">
        <v>489</v>
      </c>
      <c r="L106" s="94" t="s">
        <v>490</v>
      </c>
      <c r="M106" s="99">
        <v>2408</v>
      </c>
      <c r="N106" s="97">
        <v>0.06</v>
      </c>
      <c r="O106" s="99" t="s">
        <v>360</v>
      </c>
      <c r="P106" s="99">
        <v>2408</v>
      </c>
      <c r="Q106" s="99" t="s">
        <v>360</v>
      </c>
      <c r="R106" s="92" t="s">
        <v>98</v>
      </c>
      <c r="S106" s="92" t="s">
        <v>98</v>
      </c>
      <c r="T106" s="94" t="s">
        <v>130</v>
      </c>
      <c r="U106" s="94" t="s">
        <v>107</v>
      </c>
    </row>
    <row r="107" s="86" customFormat="1" ht="16.5" spans="1:21">
      <c r="A107" s="91" t="s">
        <v>361</v>
      </c>
      <c r="B107" s="91" t="s">
        <v>362</v>
      </c>
      <c r="C107" s="92" t="s">
        <v>491</v>
      </c>
      <c r="D107" s="93" t="s">
        <v>492</v>
      </c>
      <c r="E107" s="91" t="s">
        <v>98</v>
      </c>
      <c r="F107" s="91" t="s">
        <v>349</v>
      </c>
      <c r="G107" s="94" t="s">
        <v>195</v>
      </c>
      <c r="H107" s="92" t="s">
        <v>196</v>
      </c>
      <c r="I107" s="92" t="s">
        <v>172</v>
      </c>
      <c r="J107" s="92" t="s">
        <v>101</v>
      </c>
      <c r="K107" s="92" t="s">
        <v>493</v>
      </c>
      <c r="L107" s="94" t="s">
        <v>494</v>
      </c>
      <c r="M107" s="99">
        <v>2408</v>
      </c>
      <c r="N107" s="97">
        <v>0.06</v>
      </c>
      <c r="O107" s="99" t="s">
        <v>360</v>
      </c>
      <c r="P107" s="99">
        <v>2408</v>
      </c>
      <c r="Q107" s="99" t="s">
        <v>360</v>
      </c>
      <c r="R107" s="92" t="s">
        <v>124</v>
      </c>
      <c r="S107" s="92" t="s">
        <v>98</v>
      </c>
      <c r="T107" s="94" t="s">
        <v>130</v>
      </c>
      <c r="U107" s="94" t="s">
        <v>107</v>
      </c>
    </row>
    <row r="108" s="86" customFormat="1" ht="16.5" spans="1:21">
      <c r="A108" s="91" t="s">
        <v>361</v>
      </c>
      <c r="B108" s="91" t="s">
        <v>362</v>
      </c>
      <c r="C108" s="92" t="s">
        <v>495</v>
      </c>
      <c r="D108" s="93" t="s">
        <v>496</v>
      </c>
      <c r="E108" s="91" t="s">
        <v>98</v>
      </c>
      <c r="F108" s="91" t="s">
        <v>99</v>
      </c>
      <c r="G108" s="94" t="s">
        <v>195</v>
      </c>
      <c r="H108" s="92" t="s">
        <v>196</v>
      </c>
      <c r="I108" s="92" t="s">
        <v>172</v>
      </c>
      <c r="J108" s="92" t="s">
        <v>101</v>
      </c>
      <c r="K108" s="92"/>
      <c r="L108" s="94"/>
      <c r="M108" s="99">
        <v>2408</v>
      </c>
      <c r="N108" s="97">
        <v>0.06</v>
      </c>
      <c r="O108" s="99" t="s">
        <v>360</v>
      </c>
      <c r="P108" s="99">
        <v>2408</v>
      </c>
      <c r="Q108" s="99" t="s">
        <v>360</v>
      </c>
      <c r="R108" s="92" t="s">
        <v>98</v>
      </c>
      <c r="S108" s="92" t="s">
        <v>98</v>
      </c>
      <c r="T108" s="94" t="s">
        <v>130</v>
      </c>
      <c r="U108" s="94" t="s">
        <v>107</v>
      </c>
    </row>
    <row r="109" s="86" customFormat="1" ht="16.5" spans="1:21">
      <c r="A109" s="91" t="s">
        <v>361</v>
      </c>
      <c r="B109" s="91" t="s">
        <v>362</v>
      </c>
      <c r="C109" s="92" t="s">
        <v>497</v>
      </c>
      <c r="D109" s="93" t="s">
        <v>498</v>
      </c>
      <c r="E109" s="91" t="s">
        <v>98</v>
      </c>
      <c r="F109" s="91" t="s">
        <v>349</v>
      </c>
      <c r="G109" s="94" t="s">
        <v>195</v>
      </c>
      <c r="H109" s="92" t="s">
        <v>196</v>
      </c>
      <c r="I109" s="92" t="s">
        <v>172</v>
      </c>
      <c r="J109" s="92" t="s">
        <v>101</v>
      </c>
      <c r="K109" s="92"/>
      <c r="L109" s="94"/>
      <c r="M109" s="99">
        <v>2408</v>
      </c>
      <c r="N109" s="97">
        <v>0.06</v>
      </c>
      <c r="O109" s="99" t="s">
        <v>360</v>
      </c>
      <c r="P109" s="99">
        <v>2408</v>
      </c>
      <c r="Q109" s="99" t="s">
        <v>360</v>
      </c>
      <c r="R109" s="92" t="s">
        <v>124</v>
      </c>
      <c r="S109" s="92" t="s">
        <v>98</v>
      </c>
      <c r="T109" s="94" t="s">
        <v>130</v>
      </c>
      <c r="U109" s="94" t="s">
        <v>107</v>
      </c>
    </row>
    <row r="110" s="86" customFormat="1" ht="16.5" spans="1:21">
      <c r="A110" s="91" t="s">
        <v>361</v>
      </c>
      <c r="B110" s="91" t="s">
        <v>362</v>
      </c>
      <c r="C110" s="92" t="s">
        <v>499</v>
      </c>
      <c r="D110" s="93" t="s">
        <v>500</v>
      </c>
      <c r="E110" s="91" t="s">
        <v>98</v>
      </c>
      <c r="F110" s="91" t="s">
        <v>99</v>
      </c>
      <c r="G110" s="94" t="s">
        <v>179</v>
      </c>
      <c r="H110" s="92" t="s">
        <v>501</v>
      </c>
      <c r="I110" s="92" t="s">
        <v>172</v>
      </c>
      <c r="J110" s="92" t="s">
        <v>101</v>
      </c>
      <c r="K110" s="92"/>
      <c r="L110" s="94"/>
      <c r="M110" s="99">
        <v>2443</v>
      </c>
      <c r="N110" s="97">
        <v>0.06</v>
      </c>
      <c r="O110" s="99" t="s">
        <v>484</v>
      </c>
      <c r="P110" s="99">
        <v>2443</v>
      </c>
      <c r="Q110" s="99" t="s">
        <v>484</v>
      </c>
      <c r="R110" s="92" t="s">
        <v>98</v>
      </c>
      <c r="S110" s="92" t="s">
        <v>98</v>
      </c>
      <c r="T110" s="94" t="s">
        <v>130</v>
      </c>
      <c r="U110" s="94" t="s">
        <v>107</v>
      </c>
    </row>
    <row r="111" s="86" customFormat="1" ht="16.5" spans="1:21">
      <c r="A111" s="91" t="s">
        <v>361</v>
      </c>
      <c r="B111" s="91" t="s">
        <v>362</v>
      </c>
      <c r="C111" s="92" t="s">
        <v>502</v>
      </c>
      <c r="D111" s="93" t="s">
        <v>503</v>
      </c>
      <c r="E111" s="91" t="s">
        <v>98</v>
      </c>
      <c r="F111" s="91" t="s">
        <v>99</v>
      </c>
      <c r="G111" s="94" t="s">
        <v>179</v>
      </c>
      <c r="H111" s="92" t="s">
        <v>501</v>
      </c>
      <c r="I111" s="92" t="s">
        <v>172</v>
      </c>
      <c r="J111" s="92" t="s">
        <v>101</v>
      </c>
      <c r="K111" s="92"/>
      <c r="L111" s="94"/>
      <c r="M111" s="99">
        <v>2408</v>
      </c>
      <c r="N111" s="97">
        <v>0.06</v>
      </c>
      <c r="O111" s="99" t="s">
        <v>360</v>
      </c>
      <c r="P111" s="99">
        <v>2408</v>
      </c>
      <c r="Q111" s="99" t="s">
        <v>360</v>
      </c>
      <c r="R111" s="92" t="s">
        <v>98</v>
      </c>
      <c r="S111" s="92" t="s">
        <v>98</v>
      </c>
      <c r="T111" s="94" t="s">
        <v>130</v>
      </c>
      <c r="U111" s="94" t="s">
        <v>107</v>
      </c>
    </row>
    <row r="112" s="86" customFormat="1" ht="16.5" spans="1:21">
      <c r="A112" s="91" t="s">
        <v>361</v>
      </c>
      <c r="B112" s="91" t="s">
        <v>362</v>
      </c>
      <c r="C112" s="92" t="s">
        <v>504</v>
      </c>
      <c r="D112" s="93" t="s">
        <v>505</v>
      </c>
      <c r="E112" s="91" t="s">
        <v>98</v>
      </c>
      <c r="F112" s="91" t="s">
        <v>349</v>
      </c>
      <c r="G112" s="94" t="s">
        <v>179</v>
      </c>
      <c r="H112" s="92" t="s">
        <v>501</v>
      </c>
      <c r="I112" s="92" t="s">
        <v>172</v>
      </c>
      <c r="J112" s="92" t="s">
        <v>101</v>
      </c>
      <c r="K112" s="92"/>
      <c r="L112" s="94"/>
      <c r="M112" s="99">
        <v>2408</v>
      </c>
      <c r="N112" s="97">
        <v>0.06</v>
      </c>
      <c r="O112" s="99" t="s">
        <v>360</v>
      </c>
      <c r="P112" s="99">
        <v>2408</v>
      </c>
      <c r="Q112" s="99" t="s">
        <v>360</v>
      </c>
      <c r="R112" s="92" t="s">
        <v>124</v>
      </c>
      <c r="S112" s="92" t="s">
        <v>98</v>
      </c>
      <c r="T112" s="94" t="s">
        <v>130</v>
      </c>
      <c r="U112" s="94" t="s">
        <v>107</v>
      </c>
    </row>
    <row r="113" s="86" customFormat="1" ht="16.5" spans="1:21">
      <c r="A113" s="91" t="s">
        <v>361</v>
      </c>
      <c r="B113" s="91" t="s">
        <v>362</v>
      </c>
      <c r="C113" s="92" t="s">
        <v>506</v>
      </c>
      <c r="D113" s="93" t="s">
        <v>507</v>
      </c>
      <c r="E113" s="91" t="s">
        <v>98</v>
      </c>
      <c r="F113" s="91" t="s">
        <v>349</v>
      </c>
      <c r="G113" s="94" t="s">
        <v>179</v>
      </c>
      <c r="H113" s="92" t="s">
        <v>501</v>
      </c>
      <c r="I113" s="92" t="s">
        <v>172</v>
      </c>
      <c r="J113" s="92" t="s">
        <v>101</v>
      </c>
      <c r="K113" s="92"/>
      <c r="L113" s="94"/>
      <c r="M113" s="99">
        <v>2408</v>
      </c>
      <c r="N113" s="97">
        <v>0.06</v>
      </c>
      <c r="O113" s="99" t="s">
        <v>360</v>
      </c>
      <c r="P113" s="99">
        <v>2408</v>
      </c>
      <c r="Q113" s="99" t="s">
        <v>360</v>
      </c>
      <c r="R113" s="92" t="s">
        <v>124</v>
      </c>
      <c r="S113" s="92" t="s">
        <v>98</v>
      </c>
      <c r="T113" s="94" t="s">
        <v>130</v>
      </c>
      <c r="U113" s="94" t="s">
        <v>107</v>
      </c>
    </row>
    <row r="114" s="86" customFormat="1" ht="16.5" spans="1:21">
      <c r="A114" s="91" t="s">
        <v>361</v>
      </c>
      <c r="B114" s="91" t="s">
        <v>362</v>
      </c>
      <c r="C114" s="92" t="s">
        <v>508</v>
      </c>
      <c r="D114" s="93" t="s">
        <v>509</v>
      </c>
      <c r="E114" s="91" t="s">
        <v>98</v>
      </c>
      <c r="F114" s="91" t="s">
        <v>99</v>
      </c>
      <c r="G114" s="94" t="s">
        <v>179</v>
      </c>
      <c r="H114" s="92" t="s">
        <v>510</v>
      </c>
      <c r="I114" s="92" t="s">
        <v>172</v>
      </c>
      <c r="J114" s="92" t="s">
        <v>101</v>
      </c>
      <c r="K114" s="92"/>
      <c r="L114" s="94"/>
      <c r="M114" s="99">
        <v>2408</v>
      </c>
      <c r="N114" s="97">
        <v>0.06</v>
      </c>
      <c r="O114" s="99" t="s">
        <v>360</v>
      </c>
      <c r="P114" s="99">
        <v>2408</v>
      </c>
      <c r="Q114" s="99" t="s">
        <v>360</v>
      </c>
      <c r="R114" s="92" t="s">
        <v>98</v>
      </c>
      <c r="S114" s="92" t="s">
        <v>98</v>
      </c>
      <c r="T114" s="94" t="s">
        <v>130</v>
      </c>
      <c r="U114" s="94" t="s">
        <v>107</v>
      </c>
    </row>
    <row r="115" s="86" customFormat="1" ht="16.5" spans="1:21">
      <c r="A115" s="91" t="s">
        <v>361</v>
      </c>
      <c r="B115" s="91" t="s">
        <v>362</v>
      </c>
      <c r="C115" s="92" t="s">
        <v>511</v>
      </c>
      <c r="D115" s="93" t="s">
        <v>512</v>
      </c>
      <c r="E115" s="91" t="s">
        <v>98</v>
      </c>
      <c r="F115" s="91" t="s">
        <v>99</v>
      </c>
      <c r="G115" s="94" t="s">
        <v>179</v>
      </c>
      <c r="H115" s="92" t="s">
        <v>501</v>
      </c>
      <c r="I115" s="92" t="s">
        <v>172</v>
      </c>
      <c r="J115" s="92" t="s">
        <v>101</v>
      </c>
      <c r="K115" s="92"/>
      <c r="L115" s="94"/>
      <c r="M115" s="99">
        <v>2408</v>
      </c>
      <c r="N115" s="97">
        <v>0.06</v>
      </c>
      <c r="O115" s="99" t="s">
        <v>360</v>
      </c>
      <c r="P115" s="99">
        <v>2408</v>
      </c>
      <c r="Q115" s="99" t="s">
        <v>360</v>
      </c>
      <c r="R115" s="92" t="s">
        <v>98</v>
      </c>
      <c r="S115" s="92" t="s">
        <v>98</v>
      </c>
      <c r="T115" s="94" t="s">
        <v>130</v>
      </c>
      <c r="U115" s="94" t="s">
        <v>107</v>
      </c>
    </row>
    <row r="116" s="86" customFormat="1" ht="16.5" spans="1:21">
      <c r="A116" s="91" t="s">
        <v>361</v>
      </c>
      <c r="B116" s="91" t="s">
        <v>362</v>
      </c>
      <c r="C116" s="92" t="s">
        <v>513</v>
      </c>
      <c r="D116" s="93" t="s">
        <v>514</v>
      </c>
      <c r="E116" s="91" t="s">
        <v>98</v>
      </c>
      <c r="F116" s="91" t="s">
        <v>349</v>
      </c>
      <c r="G116" s="94" t="s">
        <v>179</v>
      </c>
      <c r="H116" s="92" t="s">
        <v>501</v>
      </c>
      <c r="I116" s="92" t="s">
        <v>172</v>
      </c>
      <c r="J116" s="92" t="s">
        <v>101</v>
      </c>
      <c r="K116" s="92" t="s">
        <v>515</v>
      </c>
      <c r="L116" s="94" t="s">
        <v>516</v>
      </c>
      <c r="M116" s="99">
        <v>2408</v>
      </c>
      <c r="N116" s="97">
        <v>0.06</v>
      </c>
      <c r="O116" s="99" t="s">
        <v>360</v>
      </c>
      <c r="P116" s="99">
        <v>2408</v>
      </c>
      <c r="Q116" s="99" t="s">
        <v>360</v>
      </c>
      <c r="R116" s="92" t="s">
        <v>124</v>
      </c>
      <c r="S116" s="92" t="s">
        <v>98</v>
      </c>
      <c r="T116" s="94" t="s">
        <v>130</v>
      </c>
      <c r="U116" s="94" t="s">
        <v>107</v>
      </c>
    </row>
    <row r="117" s="86" customFormat="1" ht="16.5" spans="1:21">
      <c r="A117" s="91" t="s">
        <v>361</v>
      </c>
      <c r="B117" s="91" t="s">
        <v>362</v>
      </c>
      <c r="C117" s="92" t="s">
        <v>517</v>
      </c>
      <c r="D117" s="93" t="s">
        <v>518</v>
      </c>
      <c r="E117" s="91" t="s">
        <v>98</v>
      </c>
      <c r="F117" s="91" t="s">
        <v>99</v>
      </c>
      <c r="G117" s="94" t="s">
        <v>179</v>
      </c>
      <c r="H117" s="92" t="s">
        <v>519</v>
      </c>
      <c r="I117" s="92" t="s">
        <v>520</v>
      </c>
      <c r="J117" s="92" t="s">
        <v>101</v>
      </c>
      <c r="K117" s="92" t="s">
        <v>521</v>
      </c>
      <c r="L117" s="94" t="s">
        <v>522</v>
      </c>
      <c r="M117" s="99">
        <v>1650</v>
      </c>
      <c r="N117" s="97">
        <v>0.06</v>
      </c>
      <c r="O117" s="99" t="s">
        <v>523</v>
      </c>
      <c r="P117" s="99">
        <v>1650</v>
      </c>
      <c r="Q117" s="99" t="s">
        <v>523</v>
      </c>
      <c r="R117" s="92" t="s">
        <v>98</v>
      </c>
      <c r="S117" s="92" t="s">
        <v>98</v>
      </c>
      <c r="T117" s="94" t="s">
        <v>130</v>
      </c>
      <c r="U117" s="94" t="s">
        <v>107</v>
      </c>
    </row>
    <row r="118" s="86" customFormat="1" ht="16.5" spans="1:21">
      <c r="A118" s="91" t="s">
        <v>361</v>
      </c>
      <c r="B118" s="91" t="s">
        <v>362</v>
      </c>
      <c r="C118" s="92" t="s">
        <v>524</v>
      </c>
      <c r="D118" s="93" t="s">
        <v>525</v>
      </c>
      <c r="E118" s="91" t="s">
        <v>98</v>
      </c>
      <c r="F118" s="91" t="s">
        <v>99</v>
      </c>
      <c r="G118" s="94" t="s">
        <v>126</v>
      </c>
      <c r="H118" s="92" t="s">
        <v>126</v>
      </c>
      <c r="I118" s="92" t="s">
        <v>172</v>
      </c>
      <c r="J118" s="92" t="s">
        <v>101</v>
      </c>
      <c r="K118" s="92" t="s">
        <v>526</v>
      </c>
      <c r="L118" s="94" t="s">
        <v>527</v>
      </c>
      <c r="M118" s="99">
        <v>2408</v>
      </c>
      <c r="N118" s="97">
        <v>0.06</v>
      </c>
      <c r="O118" s="99" t="s">
        <v>360</v>
      </c>
      <c r="P118" s="99">
        <v>2408</v>
      </c>
      <c r="Q118" s="99" t="s">
        <v>360</v>
      </c>
      <c r="R118" s="92" t="s">
        <v>98</v>
      </c>
      <c r="S118" s="92" t="s">
        <v>98</v>
      </c>
      <c r="T118" s="94" t="s">
        <v>130</v>
      </c>
      <c r="U118" s="94" t="s">
        <v>107</v>
      </c>
    </row>
    <row r="119" s="86" customFormat="1" ht="16.5" spans="1:21">
      <c r="A119" s="91" t="s">
        <v>361</v>
      </c>
      <c r="B119" s="91" t="s">
        <v>362</v>
      </c>
      <c r="C119" s="92" t="s">
        <v>528</v>
      </c>
      <c r="D119" s="93" t="s">
        <v>529</v>
      </c>
      <c r="E119" s="91" t="s">
        <v>98</v>
      </c>
      <c r="F119" s="91" t="s">
        <v>349</v>
      </c>
      <c r="G119" s="94" t="s">
        <v>126</v>
      </c>
      <c r="H119" s="92" t="s">
        <v>126</v>
      </c>
      <c r="I119" s="92" t="s">
        <v>172</v>
      </c>
      <c r="J119" s="92" t="s">
        <v>101</v>
      </c>
      <c r="K119" s="92"/>
      <c r="L119" s="94"/>
      <c r="M119" s="99">
        <v>2408</v>
      </c>
      <c r="N119" s="97">
        <v>0.06</v>
      </c>
      <c r="O119" s="99" t="s">
        <v>360</v>
      </c>
      <c r="P119" s="99">
        <v>2408</v>
      </c>
      <c r="Q119" s="99" t="s">
        <v>360</v>
      </c>
      <c r="R119" s="92" t="s">
        <v>124</v>
      </c>
      <c r="S119" s="92" t="s">
        <v>98</v>
      </c>
      <c r="T119" s="94" t="s">
        <v>130</v>
      </c>
      <c r="U119" s="94" t="s">
        <v>107</v>
      </c>
    </row>
    <row r="120" s="86" customFormat="1" ht="16.5" spans="1:21">
      <c r="A120" s="91" t="s">
        <v>361</v>
      </c>
      <c r="B120" s="91" t="s">
        <v>362</v>
      </c>
      <c r="C120" s="92" t="s">
        <v>530</v>
      </c>
      <c r="D120" s="93" t="s">
        <v>531</v>
      </c>
      <c r="E120" s="91" t="s">
        <v>98</v>
      </c>
      <c r="F120" s="91" t="s">
        <v>349</v>
      </c>
      <c r="G120" s="94" t="s">
        <v>179</v>
      </c>
      <c r="H120" s="92" t="s">
        <v>532</v>
      </c>
      <c r="I120" s="92" t="s">
        <v>172</v>
      </c>
      <c r="J120" s="92" t="s">
        <v>101</v>
      </c>
      <c r="K120" s="92"/>
      <c r="L120" s="94"/>
      <c r="M120" s="99">
        <v>2408</v>
      </c>
      <c r="N120" s="97">
        <v>0.06</v>
      </c>
      <c r="O120" s="99" t="s">
        <v>360</v>
      </c>
      <c r="P120" s="99">
        <v>2408</v>
      </c>
      <c r="Q120" s="99" t="s">
        <v>360</v>
      </c>
      <c r="R120" s="92" t="s">
        <v>124</v>
      </c>
      <c r="S120" s="92" t="s">
        <v>98</v>
      </c>
      <c r="T120" s="94" t="s">
        <v>130</v>
      </c>
      <c r="U120" s="94" t="s">
        <v>107</v>
      </c>
    </row>
    <row r="121" s="86" customFormat="1" ht="16.5" spans="1:21">
      <c r="A121" s="91" t="s">
        <v>361</v>
      </c>
      <c r="B121" s="91" t="s">
        <v>362</v>
      </c>
      <c r="C121" s="92" t="s">
        <v>533</v>
      </c>
      <c r="D121" s="93" t="s">
        <v>534</v>
      </c>
      <c r="E121" s="91" t="s">
        <v>98</v>
      </c>
      <c r="F121" s="91" t="s">
        <v>99</v>
      </c>
      <c r="G121" s="94" t="s">
        <v>179</v>
      </c>
      <c r="H121" s="92" t="s">
        <v>535</v>
      </c>
      <c r="I121" s="92" t="s">
        <v>520</v>
      </c>
      <c r="J121" s="92" t="s">
        <v>101</v>
      </c>
      <c r="K121" s="92" t="s">
        <v>536</v>
      </c>
      <c r="L121" s="94" t="s">
        <v>537</v>
      </c>
      <c r="M121" s="99">
        <v>2408</v>
      </c>
      <c r="N121" s="97">
        <v>0.06</v>
      </c>
      <c r="O121" s="99" t="s">
        <v>360</v>
      </c>
      <c r="P121" s="99">
        <v>2408</v>
      </c>
      <c r="Q121" s="99" t="s">
        <v>360</v>
      </c>
      <c r="R121" s="92" t="s">
        <v>98</v>
      </c>
      <c r="S121" s="92" t="s">
        <v>98</v>
      </c>
      <c r="T121" s="94" t="s">
        <v>130</v>
      </c>
      <c r="U121" s="94" t="s">
        <v>107</v>
      </c>
    </row>
    <row r="122" s="86" customFormat="1" ht="16.5" spans="1:21">
      <c r="A122" s="91" t="s">
        <v>361</v>
      </c>
      <c r="B122" s="91" t="s">
        <v>362</v>
      </c>
      <c r="C122" s="92" t="s">
        <v>538</v>
      </c>
      <c r="D122" s="93" t="s">
        <v>539</v>
      </c>
      <c r="E122" s="91" t="s">
        <v>98</v>
      </c>
      <c r="F122" s="91" t="s">
        <v>349</v>
      </c>
      <c r="G122" s="94" t="s">
        <v>126</v>
      </c>
      <c r="H122" s="92" t="s">
        <v>126</v>
      </c>
      <c r="I122" s="92" t="s">
        <v>172</v>
      </c>
      <c r="J122" s="92" t="s">
        <v>101</v>
      </c>
      <c r="K122" s="92"/>
      <c r="L122" s="94"/>
      <c r="M122" s="99">
        <v>2408</v>
      </c>
      <c r="N122" s="97">
        <v>0.06</v>
      </c>
      <c r="O122" s="99" t="s">
        <v>360</v>
      </c>
      <c r="P122" s="99">
        <v>2408</v>
      </c>
      <c r="Q122" s="99" t="s">
        <v>360</v>
      </c>
      <c r="R122" s="92" t="s">
        <v>124</v>
      </c>
      <c r="S122" s="92" t="s">
        <v>98</v>
      </c>
      <c r="T122" s="94" t="s">
        <v>130</v>
      </c>
      <c r="U122" s="94" t="s">
        <v>107</v>
      </c>
    </row>
    <row r="123" s="86" customFormat="1" ht="16.5" spans="1:21">
      <c r="A123" s="91" t="s">
        <v>361</v>
      </c>
      <c r="B123" s="91" t="s">
        <v>362</v>
      </c>
      <c r="C123" s="92" t="s">
        <v>540</v>
      </c>
      <c r="D123" s="93" t="s">
        <v>541</v>
      </c>
      <c r="E123" s="91" t="s">
        <v>98</v>
      </c>
      <c r="F123" s="91" t="s">
        <v>99</v>
      </c>
      <c r="G123" s="94" t="s">
        <v>195</v>
      </c>
      <c r="H123" s="92" t="s">
        <v>406</v>
      </c>
      <c r="I123" s="92" t="s">
        <v>172</v>
      </c>
      <c r="J123" s="92" t="s">
        <v>101</v>
      </c>
      <c r="K123" s="92" t="s">
        <v>542</v>
      </c>
      <c r="L123" s="94" t="s">
        <v>543</v>
      </c>
      <c r="M123" s="99">
        <v>2408</v>
      </c>
      <c r="N123" s="97">
        <v>0.06</v>
      </c>
      <c r="O123" s="99" t="s">
        <v>360</v>
      </c>
      <c r="P123" s="99">
        <v>2408</v>
      </c>
      <c r="Q123" s="99" t="s">
        <v>360</v>
      </c>
      <c r="R123" s="92" t="s">
        <v>98</v>
      </c>
      <c r="S123" s="92" t="s">
        <v>98</v>
      </c>
      <c r="T123" s="94" t="s">
        <v>130</v>
      </c>
      <c r="U123" s="94" t="s">
        <v>107</v>
      </c>
    </row>
    <row r="124" s="86" customFormat="1" ht="16.5" spans="1:21">
      <c r="A124" s="91" t="s">
        <v>361</v>
      </c>
      <c r="B124" s="91" t="s">
        <v>362</v>
      </c>
      <c r="C124" s="92" t="s">
        <v>544</v>
      </c>
      <c r="D124" s="93" t="s">
        <v>545</v>
      </c>
      <c r="E124" s="91" t="s">
        <v>98</v>
      </c>
      <c r="F124" s="91" t="s">
        <v>349</v>
      </c>
      <c r="G124" s="94"/>
      <c r="H124" s="92"/>
      <c r="I124" s="92" t="s">
        <v>172</v>
      </c>
      <c r="J124" s="92" t="s">
        <v>101</v>
      </c>
      <c r="K124" s="92"/>
      <c r="L124" s="94"/>
      <c r="M124" s="99">
        <v>3149</v>
      </c>
      <c r="N124" s="97">
        <v>0.06</v>
      </c>
      <c r="O124" s="99" t="s">
        <v>546</v>
      </c>
      <c r="P124" s="99">
        <v>3149</v>
      </c>
      <c r="Q124" s="99" t="s">
        <v>546</v>
      </c>
      <c r="R124" s="92" t="s">
        <v>124</v>
      </c>
      <c r="S124" s="92" t="s">
        <v>98</v>
      </c>
      <c r="T124" s="94" t="s">
        <v>130</v>
      </c>
      <c r="U124" s="94" t="s">
        <v>107</v>
      </c>
    </row>
    <row r="125" s="86" customFormat="1" ht="16.5" spans="1:21">
      <c r="A125" s="91" t="s">
        <v>361</v>
      </c>
      <c r="B125" s="91" t="s">
        <v>362</v>
      </c>
      <c r="C125" s="92" t="s">
        <v>547</v>
      </c>
      <c r="D125" s="93" t="s">
        <v>548</v>
      </c>
      <c r="E125" s="91" t="s">
        <v>98</v>
      </c>
      <c r="F125" s="91" t="s">
        <v>349</v>
      </c>
      <c r="G125" s="94"/>
      <c r="H125" s="92"/>
      <c r="I125" s="92" t="s">
        <v>172</v>
      </c>
      <c r="J125" s="92" t="s">
        <v>101</v>
      </c>
      <c r="K125" s="92"/>
      <c r="L125" s="94"/>
      <c r="M125" s="99">
        <v>2408</v>
      </c>
      <c r="N125" s="97">
        <v>0.06</v>
      </c>
      <c r="O125" s="99" t="s">
        <v>360</v>
      </c>
      <c r="P125" s="99">
        <v>2408</v>
      </c>
      <c r="Q125" s="99" t="s">
        <v>360</v>
      </c>
      <c r="R125" s="92" t="s">
        <v>124</v>
      </c>
      <c r="S125" s="92" t="s">
        <v>98</v>
      </c>
      <c r="T125" s="94" t="s">
        <v>130</v>
      </c>
      <c r="U125" s="94" t="s">
        <v>107</v>
      </c>
    </row>
    <row r="126" s="86" customFormat="1" ht="16.5" spans="1:21">
      <c r="A126" s="91" t="s">
        <v>361</v>
      </c>
      <c r="B126" s="91" t="s">
        <v>362</v>
      </c>
      <c r="C126" s="92" t="s">
        <v>549</v>
      </c>
      <c r="D126" s="93" t="s">
        <v>550</v>
      </c>
      <c r="E126" s="91" t="s">
        <v>98</v>
      </c>
      <c r="F126" s="91" t="s">
        <v>349</v>
      </c>
      <c r="G126" s="94"/>
      <c r="H126" s="92"/>
      <c r="I126" s="92" t="s">
        <v>172</v>
      </c>
      <c r="J126" s="92" t="s">
        <v>101</v>
      </c>
      <c r="K126" s="92"/>
      <c r="L126" s="94"/>
      <c r="M126" s="99">
        <v>2408</v>
      </c>
      <c r="N126" s="97">
        <v>0.06</v>
      </c>
      <c r="O126" s="99" t="s">
        <v>360</v>
      </c>
      <c r="P126" s="99">
        <v>2408</v>
      </c>
      <c r="Q126" s="99" t="s">
        <v>360</v>
      </c>
      <c r="R126" s="92" t="s">
        <v>124</v>
      </c>
      <c r="S126" s="92" t="s">
        <v>98</v>
      </c>
      <c r="T126" s="94" t="s">
        <v>130</v>
      </c>
      <c r="U126" s="94" t="s">
        <v>107</v>
      </c>
    </row>
    <row r="127" s="86" customFormat="1" ht="16.5" spans="1:21">
      <c r="A127" s="91" t="s">
        <v>361</v>
      </c>
      <c r="B127" s="91" t="s">
        <v>362</v>
      </c>
      <c r="C127" s="92" t="s">
        <v>551</v>
      </c>
      <c r="D127" s="93" t="s">
        <v>552</v>
      </c>
      <c r="E127" s="91" t="s">
        <v>98</v>
      </c>
      <c r="F127" s="91" t="s">
        <v>349</v>
      </c>
      <c r="G127" s="94"/>
      <c r="H127" s="92"/>
      <c r="I127" s="92" t="s">
        <v>172</v>
      </c>
      <c r="J127" s="92" t="s">
        <v>101</v>
      </c>
      <c r="K127" s="92"/>
      <c r="L127" s="94"/>
      <c r="M127" s="99">
        <v>2408</v>
      </c>
      <c r="N127" s="97">
        <v>0.06</v>
      </c>
      <c r="O127" s="99" t="s">
        <v>360</v>
      </c>
      <c r="P127" s="99">
        <v>2408</v>
      </c>
      <c r="Q127" s="99" t="s">
        <v>360</v>
      </c>
      <c r="R127" s="92" t="s">
        <v>124</v>
      </c>
      <c r="S127" s="92" t="s">
        <v>98</v>
      </c>
      <c r="T127" s="94" t="s">
        <v>130</v>
      </c>
      <c r="U127" s="94" t="s">
        <v>107</v>
      </c>
    </row>
    <row r="128" s="86" customFormat="1" ht="16.5" spans="1:21">
      <c r="A128" s="91" t="s">
        <v>361</v>
      </c>
      <c r="B128" s="91" t="s">
        <v>362</v>
      </c>
      <c r="C128" s="92" t="s">
        <v>553</v>
      </c>
      <c r="D128" s="93" t="s">
        <v>554</v>
      </c>
      <c r="E128" s="91" t="s">
        <v>98</v>
      </c>
      <c r="F128" s="91" t="s">
        <v>99</v>
      </c>
      <c r="G128" s="94"/>
      <c r="H128" s="92"/>
      <c r="I128" s="92" t="s">
        <v>172</v>
      </c>
      <c r="J128" s="92" t="s">
        <v>101</v>
      </c>
      <c r="K128" s="92"/>
      <c r="L128" s="94"/>
      <c r="M128" s="99">
        <v>2408</v>
      </c>
      <c r="N128" s="97">
        <v>0.06</v>
      </c>
      <c r="O128" s="99" t="s">
        <v>360</v>
      </c>
      <c r="P128" s="99">
        <v>2408</v>
      </c>
      <c r="Q128" s="99" t="s">
        <v>360</v>
      </c>
      <c r="R128" s="92" t="s">
        <v>98</v>
      </c>
      <c r="S128" s="92" t="s">
        <v>98</v>
      </c>
      <c r="T128" s="94" t="s">
        <v>130</v>
      </c>
      <c r="U128" s="94" t="s">
        <v>107</v>
      </c>
    </row>
    <row r="129" s="86" customFormat="1" ht="16.5" spans="1:21">
      <c r="A129" s="91" t="s">
        <v>361</v>
      </c>
      <c r="B129" s="91" t="s">
        <v>362</v>
      </c>
      <c r="C129" s="92" t="s">
        <v>555</v>
      </c>
      <c r="D129" s="93" t="s">
        <v>556</v>
      </c>
      <c r="E129" s="91" t="s">
        <v>98</v>
      </c>
      <c r="F129" s="91" t="s">
        <v>349</v>
      </c>
      <c r="G129" s="94"/>
      <c r="H129" s="92"/>
      <c r="I129" s="92" t="s">
        <v>172</v>
      </c>
      <c r="J129" s="92" t="s">
        <v>101</v>
      </c>
      <c r="K129" s="92"/>
      <c r="L129" s="94"/>
      <c r="M129" s="99">
        <v>2408</v>
      </c>
      <c r="N129" s="97">
        <v>0.06</v>
      </c>
      <c r="O129" s="99" t="s">
        <v>360</v>
      </c>
      <c r="P129" s="99">
        <v>2408</v>
      </c>
      <c r="Q129" s="99" t="s">
        <v>360</v>
      </c>
      <c r="R129" s="92" t="s">
        <v>124</v>
      </c>
      <c r="S129" s="92" t="s">
        <v>98</v>
      </c>
      <c r="T129" s="94" t="s">
        <v>130</v>
      </c>
      <c r="U129" s="94" t="s">
        <v>107</v>
      </c>
    </row>
    <row r="130" s="86" customFormat="1" ht="16.5" spans="1:21">
      <c r="A130" s="91" t="s">
        <v>361</v>
      </c>
      <c r="B130" s="91" t="s">
        <v>362</v>
      </c>
      <c r="C130" s="92" t="s">
        <v>557</v>
      </c>
      <c r="D130" s="93" t="s">
        <v>558</v>
      </c>
      <c r="E130" s="91" t="s">
        <v>98</v>
      </c>
      <c r="F130" s="91" t="s">
        <v>349</v>
      </c>
      <c r="G130" s="94"/>
      <c r="H130" s="92"/>
      <c r="I130" s="92" t="s">
        <v>172</v>
      </c>
      <c r="J130" s="92" t="s">
        <v>101</v>
      </c>
      <c r="K130" s="92"/>
      <c r="L130" s="94"/>
      <c r="M130" s="99">
        <v>2408</v>
      </c>
      <c r="N130" s="97">
        <v>0.06</v>
      </c>
      <c r="O130" s="99" t="s">
        <v>360</v>
      </c>
      <c r="P130" s="99">
        <v>2408</v>
      </c>
      <c r="Q130" s="99" t="s">
        <v>360</v>
      </c>
      <c r="R130" s="92" t="s">
        <v>124</v>
      </c>
      <c r="S130" s="92" t="s">
        <v>98</v>
      </c>
      <c r="T130" s="94" t="s">
        <v>130</v>
      </c>
      <c r="U130" s="94" t="s">
        <v>107</v>
      </c>
    </row>
    <row r="131" s="86" customFormat="1" ht="16.5" spans="1:21">
      <c r="A131" s="91" t="s">
        <v>361</v>
      </c>
      <c r="B131" s="91" t="s">
        <v>362</v>
      </c>
      <c r="C131" s="92" t="s">
        <v>559</v>
      </c>
      <c r="D131" s="93" t="s">
        <v>560</v>
      </c>
      <c r="E131" s="91" t="s">
        <v>98</v>
      </c>
      <c r="F131" s="91" t="s">
        <v>99</v>
      </c>
      <c r="G131" s="94" t="s">
        <v>179</v>
      </c>
      <c r="H131" s="92" t="s">
        <v>501</v>
      </c>
      <c r="I131" s="92" t="s">
        <v>172</v>
      </c>
      <c r="J131" s="92" t="s">
        <v>101</v>
      </c>
      <c r="K131" s="92" t="s">
        <v>515</v>
      </c>
      <c r="L131" s="94" t="s">
        <v>516</v>
      </c>
      <c r="M131" s="99">
        <v>1991</v>
      </c>
      <c r="N131" s="97">
        <v>0.06</v>
      </c>
      <c r="O131" s="99" t="s">
        <v>561</v>
      </c>
      <c r="P131" s="99">
        <v>1991</v>
      </c>
      <c r="Q131" s="99" t="s">
        <v>561</v>
      </c>
      <c r="R131" s="92" t="s">
        <v>98</v>
      </c>
      <c r="S131" s="92" t="s">
        <v>98</v>
      </c>
      <c r="T131" s="94" t="s">
        <v>130</v>
      </c>
      <c r="U131" s="94" t="s">
        <v>107</v>
      </c>
    </row>
    <row r="132" s="86" customFormat="1" ht="16.5" spans="1:21">
      <c r="A132" s="91" t="s">
        <v>361</v>
      </c>
      <c r="B132" s="91" t="s">
        <v>362</v>
      </c>
      <c r="C132" s="92" t="s">
        <v>562</v>
      </c>
      <c r="D132" s="93" t="s">
        <v>563</v>
      </c>
      <c r="E132" s="91" t="s">
        <v>98</v>
      </c>
      <c r="F132" s="91" t="s">
        <v>349</v>
      </c>
      <c r="G132" s="94" t="s">
        <v>195</v>
      </c>
      <c r="H132" s="92" t="s">
        <v>196</v>
      </c>
      <c r="I132" s="92" t="s">
        <v>172</v>
      </c>
      <c r="J132" s="92" t="s">
        <v>101</v>
      </c>
      <c r="K132" s="92"/>
      <c r="L132" s="94"/>
      <c r="M132" s="99">
        <v>2408</v>
      </c>
      <c r="N132" s="97">
        <v>0.06</v>
      </c>
      <c r="O132" s="99" t="s">
        <v>360</v>
      </c>
      <c r="P132" s="99">
        <v>2408</v>
      </c>
      <c r="Q132" s="99" t="s">
        <v>360</v>
      </c>
      <c r="R132" s="92" t="s">
        <v>124</v>
      </c>
      <c r="S132" s="92" t="s">
        <v>98</v>
      </c>
      <c r="T132" s="94" t="s">
        <v>130</v>
      </c>
      <c r="U132" s="94" t="s">
        <v>107</v>
      </c>
    </row>
    <row r="133" s="86" customFormat="1" ht="16.5" spans="1:21">
      <c r="A133" s="91" t="s">
        <v>361</v>
      </c>
      <c r="B133" s="91" t="s">
        <v>362</v>
      </c>
      <c r="C133" s="92" t="s">
        <v>564</v>
      </c>
      <c r="D133" s="93" t="s">
        <v>565</v>
      </c>
      <c r="E133" s="91" t="s">
        <v>98</v>
      </c>
      <c r="F133" s="91" t="s">
        <v>349</v>
      </c>
      <c r="G133" s="94" t="s">
        <v>195</v>
      </c>
      <c r="H133" s="92" t="s">
        <v>196</v>
      </c>
      <c r="I133" s="92" t="s">
        <v>172</v>
      </c>
      <c r="J133" s="92" t="s">
        <v>101</v>
      </c>
      <c r="K133" s="92"/>
      <c r="L133" s="94"/>
      <c r="M133" s="99">
        <v>2408</v>
      </c>
      <c r="N133" s="97">
        <v>0.06</v>
      </c>
      <c r="O133" s="99" t="s">
        <v>360</v>
      </c>
      <c r="P133" s="99">
        <v>2408</v>
      </c>
      <c r="Q133" s="99" t="s">
        <v>360</v>
      </c>
      <c r="R133" s="92" t="s">
        <v>124</v>
      </c>
      <c r="S133" s="92" t="s">
        <v>98</v>
      </c>
      <c r="T133" s="94" t="s">
        <v>130</v>
      </c>
      <c r="U133" s="94" t="s">
        <v>107</v>
      </c>
    </row>
    <row r="134" s="86" customFormat="1" ht="16.5" spans="1:21">
      <c r="A134" s="91" t="s">
        <v>361</v>
      </c>
      <c r="B134" s="91" t="s">
        <v>362</v>
      </c>
      <c r="C134" s="92" t="s">
        <v>566</v>
      </c>
      <c r="D134" s="93" t="s">
        <v>567</v>
      </c>
      <c r="E134" s="91" t="s">
        <v>98</v>
      </c>
      <c r="F134" s="91" t="s">
        <v>349</v>
      </c>
      <c r="G134" s="94" t="s">
        <v>195</v>
      </c>
      <c r="H134" s="92" t="s">
        <v>196</v>
      </c>
      <c r="I134" s="92" t="s">
        <v>172</v>
      </c>
      <c r="J134" s="92" t="s">
        <v>101</v>
      </c>
      <c r="K134" s="92"/>
      <c r="L134" s="94"/>
      <c r="M134" s="99">
        <v>2408</v>
      </c>
      <c r="N134" s="97">
        <v>0.06</v>
      </c>
      <c r="O134" s="99" t="s">
        <v>360</v>
      </c>
      <c r="P134" s="99">
        <v>2408</v>
      </c>
      <c r="Q134" s="99" t="s">
        <v>360</v>
      </c>
      <c r="R134" s="92" t="s">
        <v>124</v>
      </c>
      <c r="S134" s="92" t="s">
        <v>98</v>
      </c>
      <c r="T134" s="94" t="s">
        <v>130</v>
      </c>
      <c r="U134" s="94" t="s">
        <v>107</v>
      </c>
    </row>
    <row r="135" s="86" customFormat="1" ht="16.5" spans="1:21">
      <c r="A135" s="91" t="s">
        <v>361</v>
      </c>
      <c r="B135" s="91" t="s">
        <v>362</v>
      </c>
      <c r="C135" s="92" t="s">
        <v>568</v>
      </c>
      <c r="D135" s="93" t="s">
        <v>569</v>
      </c>
      <c r="E135" s="91" t="s">
        <v>98</v>
      </c>
      <c r="F135" s="91" t="s">
        <v>349</v>
      </c>
      <c r="G135" s="94" t="s">
        <v>195</v>
      </c>
      <c r="H135" s="92" t="s">
        <v>196</v>
      </c>
      <c r="I135" s="92" t="s">
        <v>172</v>
      </c>
      <c r="J135" s="92" t="s">
        <v>101</v>
      </c>
      <c r="K135" s="92"/>
      <c r="L135" s="94"/>
      <c r="M135" s="99">
        <v>2408</v>
      </c>
      <c r="N135" s="97">
        <v>0.06</v>
      </c>
      <c r="O135" s="99" t="s">
        <v>360</v>
      </c>
      <c r="P135" s="99">
        <v>2408</v>
      </c>
      <c r="Q135" s="99" t="s">
        <v>360</v>
      </c>
      <c r="R135" s="92" t="s">
        <v>124</v>
      </c>
      <c r="S135" s="92" t="s">
        <v>98</v>
      </c>
      <c r="T135" s="94" t="s">
        <v>130</v>
      </c>
      <c r="U135" s="94" t="s">
        <v>107</v>
      </c>
    </row>
    <row r="136" s="86" customFormat="1" ht="16.5" spans="1:21">
      <c r="A136" s="91" t="s">
        <v>361</v>
      </c>
      <c r="B136" s="91" t="s">
        <v>362</v>
      </c>
      <c r="C136" s="92" t="s">
        <v>570</v>
      </c>
      <c r="D136" s="93" t="s">
        <v>571</v>
      </c>
      <c r="E136" s="91" t="s">
        <v>98</v>
      </c>
      <c r="F136" s="91" t="s">
        <v>349</v>
      </c>
      <c r="G136" s="94" t="s">
        <v>195</v>
      </c>
      <c r="H136" s="92" t="s">
        <v>196</v>
      </c>
      <c r="I136" s="92" t="s">
        <v>172</v>
      </c>
      <c r="J136" s="92" t="s">
        <v>101</v>
      </c>
      <c r="K136" s="92"/>
      <c r="L136" s="94"/>
      <c r="M136" s="99">
        <v>2408</v>
      </c>
      <c r="N136" s="97">
        <v>0.06</v>
      </c>
      <c r="O136" s="99" t="s">
        <v>360</v>
      </c>
      <c r="P136" s="99">
        <v>2408</v>
      </c>
      <c r="Q136" s="99" t="s">
        <v>360</v>
      </c>
      <c r="R136" s="92" t="s">
        <v>124</v>
      </c>
      <c r="S136" s="92" t="s">
        <v>98</v>
      </c>
      <c r="T136" s="94" t="s">
        <v>130</v>
      </c>
      <c r="U136" s="94" t="s">
        <v>107</v>
      </c>
    </row>
    <row r="137" s="86" customFormat="1" ht="16.5" spans="1:21">
      <c r="A137" s="91" t="s">
        <v>361</v>
      </c>
      <c r="B137" s="91" t="s">
        <v>362</v>
      </c>
      <c r="C137" s="92" t="s">
        <v>572</v>
      </c>
      <c r="D137" s="93" t="s">
        <v>573</v>
      </c>
      <c r="E137" s="91" t="s">
        <v>98</v>
      </c>
      <c r="F137" s="91" t="s">
        <v>349</v>
      </c>
      <c r="G137" s="94" t="s">
        <v>195</v>
      </c>
      <c r="H137" s="92" t="s">
        <v>196</v>
      </c>
      <c r="I137" s="92" t="s">
        <v>172</v>
      </c>
      <c r="J137" s="92" t="s">
        <v>101</v>
      </c>
      <c r="K137" s="92"/>
      <c r="L137" s="94"/>
      <c r="M137" s="99">
        <v>2408</v>
      </c>
      <c r="N137" s="97">
        <v>0.06</v>
      </c>
      <c r="O137" s="99" t="s">
        <v>360</v>
      </c>
      <c r="P137" s="99">
        <v>2408</v>
      </c>
      <c r="Q137" s="99" t="s">
        <v>360</v>
      </c>
      <c r="R137" s="92" t="s">
        <v>124</v>
      </c>
      <c r="S137" s="92" t="s">
        <v>98</v>
      </c>
      <c r="T137" s="94" t="s">
        <v>130</v>
      </c>
      <c r="U137" s="94" t="s">
        <v>107</v>
      </c>
    </row>
    <row r="138" s="86" customFormat="1" ht="16.5" spans="1:21">
      <c r="A138" s="91" t="s">
        <v>361</v>
      </c>
      <c r="B138" s="91" t="s">
        <v>362</v>
      </c>
      <c r="C138" s="92" t="s">
        <v>574</v>
      </c>
      <c r="D138" s="93" t="s">
        <v>575</v>
      </c>
      <c r="E138" s="91" t="s">
        <v>98</v>
      </c>
      <c r="F138" s="91" t="s">
        <v>349</v>
      </c>
      <c r="G138" s="94" t="s">
        <v>195</v>
      </c>
      <c r="H138" s="92" t="s">
        <v>196</v>
      </c>
      <c r="I138" s="92" t="s">
        <v>172</v>
      </c>
      <c r="J138" s="92" t="s">
        <v>101</v>
      </c>
      <c r="K138" s="92"/>
      <c r="L138" s="94"/>
      <c r="M138" s="99">
        <v>2408</v>
      </c>
      <c r="N138" s="97">
        <v>0.06</v>
      </c>
      <c r="O138" s="99" t="s">
        <v>360</v>
      </c>
      <c r="P138" s="99">
        <v>2408</v>
      </c>
      <c r="Q138" s="99" t="s">
        <v>360</v>
      </c>
      <c r="R138" s="92" t="s">
        <v>124</v>
      </c>
      <c r="S138" s="92" t="s">
        <v>98</v>
      </c>
      <c r="T138" s="94" t="s">
        <v>130</v>
      </c>
      <c r="U138" s="94" t="s">
        <v>107</v>
      </c>
    </row>
    <row r="139" s="86" customFormat="1" ht="16.5" spans="1:21">
      <c r="A139" s="91" t="s">
        <v>361</v>
      </c>
      <c r="B139" s="91" t="s">
        <v>362</v>
      </c>
      <c r="C139" s="92" t="s">
        <v>576</v>
      </c>
      <c r="D139" s="93" t="s">
        <v>577</v>
      </c>
      <c r="E139" s="91" t="s">
        <v>98</v>
      </c>
      <c r="F139" s="91" t="s">
        <v>349</v>
      </c>
      <c r="G139" s="94" t="s">
        <v>195</v>
      </c>
      <c r="H139" s="92" t="s">
        <v>196</v>
      </c>
      <c r="I139" s="92" t="s">
        <v>172</v>
      </c>
      <c r="J139" s="92" t="s">
        <v>101</v>
      </c>
      <c r="K139" s="92"/>
      <c r="L139" s="94"/>
      <c r="M139" s="99">
        <v>2408</v>
      </c>
      <c r="N139" s="97">
        <v>0.06</v>
      </c>
      <c r="O139" s="99" t="s">
        <v>360</v>
      </c>
      <c r="P139" s="99">
        <v>2408</v>
      </c>
      <c r="Q139" s="99" t="s">
        <v>360</v>
      </c>
      <c r="R139" s="92" t="s">
        <v>124</v>
      </c>
      <c r="S139" s="92" t="s">
        <v>98</v>
      </c>
      <c r="T139" s="94" t="s">
        <v>130</v>
      </c>
      <c r="U139" s="94" t="s">
        <v>107</v>
      </c>
    </row>
    <row r="140" s="86" customFormat="1" ht="16.5" spans="1:21">
      <c r="A140" s="91" t="s">
        <v>361</v>
      </c>
      <c r="B140" s="91" t="s">
        <v>362</v>
      </c>
      <c r="C140" s="92" t="s">
        <v>578</v>
      </c>
      <c r="D140" s="93" t="s">
        <v>579</v>
      </c>
      <c r="E140" s="91" t="s">
        <v>98</v>
      </c>
      <c r="F140" s="91" t="s">
        <v>349</v>
      </c>
      <c r="G140" s="94"/>
      <c r="H140" s="92"/>
      <c r="I140" s="92" t="s">
        <v>172</v>
      </c>
      <c r="J140" s="92" t="s">
        <v>101</v>
      </c>
      <c r="K140" s="92"/>
      <c r="L140" s="94"/>
      <c r="M140" s="99">
        <v>2408</v>
      </c>
      <c r="N140" s="97">
        <v>0.06</v>
      </c>
      <c r="O140" s="99" t="s">
        <v>360</v>
      </c>
      <c r="P140" s="99">
        <v>2408</v>
      </c>
      <c r="Q140" s="99" t="s">
        <v>360</v>
      </c>
      <c r="R140" s="92" t="s">
        <v>124</v>
      </c>
      <c r="S140" s="92" t="s">
        <v>98</v>
      </c>
      <c r="T140" s="94" t="s">
        <v>130</v>
      </c>
      <c r="U140" s="94" t="s">
        <v>107</v>
      </c>
    </row>
    <row r="141" s="86" customFormat="1" ht="16.5" spans="1:21">
      <c r="A141" s="91" t="s">
        <v>361</v>
      </c>
      <c r="B141" s="91" t="s">
        <v>362</v>
      </c>
      <c r="C141" s="92" t="s">
        <v>580</v>
      </c>
      <c r="D141" s="93" t="s">
        <v>581</v>
      </c>
      <c r="E141" s="91" t="s">
        <v>98</v>
      </c>
      <c r="F141" s="91" t="s">
        <v>349</v>
      </c>
      <c r="G141" s="94"/>
      <c r="H141" s="92"/>
      <c r="I141" s="92" t="s">
        <v>172</v>
      </c>
      <c r="J141" s="92" t="s">
        <v>101</v>
      </c>
      <c r="K141" s="92"/>
      <c r="L141" s="94"/>
      <c r="M141" s="99">
        <v>2408</v>
      </c>
      <c r="N141" s="97">
        <v>0.06</v>
      </c>
      <c r="O141" s="99" t="s">
        <v>360</v>
      </c>
      <c r="P141" s="99">
        <v>2408</v>
      </c>
      <c r="Q141" s="99" t="s">
        <v>360</v>
      </c>
      <c r="R141" s="92" t="s">
        <v>124</v>
      </c>
      <c r="S141" s="92" t="s">
        <v>98</v>
      </c>
      <c r="T141" s="94" t="s">
        <v>130</v>
      </c>
      <c r="U141" s="94" t="s">
        <v>107</v>
      </c>
    </row>
    <row r="142" s="86" customFormat="1" ht="16.5" spans="1:21">
      <c r="A142" s="91" t="s">
        <v>361</v>
      </c>
      <c r="B142" s="91" t="s">
        <v>362</v>
      </c>
      <c r="C142" s="92" t="s">
        <v>582</v>
      </c>
      <c r="D142" s="93" t="s">
        <v>583</v>
      </c>
      <c r="E142" s="91" t="s">
        <v>98</v>
      </c>
      <c r="F142" s="91" t="s">
        <v>349</v>
      </c>
      <c r="G142" s="94"/>
      <c r="H142" s="92"/>
      <c r="I142" s="92" t="s">
        <v>172</v>
      </c>
      <c r="J142" s="92" t="s">
        <v>101</v>
      </c>
      <c r="K142" s="92"/>
      <c r="L142" s="94"/>
      <c r="M142" s="99">
        <v>2408</v>
      </c>
      <c r="N142" s="97">
        <v>0.06</v>
      </c>
      <c r="O142" s="99" t="s">
        <v>360</v>
      </c>
      <c r="P142" s="99">
        <v>2408</v>
      </c>
      <c r="Q142" s="99" t="s">
        <v>360</v>
      </c>
      <c r="R142" s="92" t="s">
        <v>124</v>
      </c>
      <c r="S142" s="92" t="s">
        <v>98</v>
      </c>
      <c r="T142" s="94" t="s">
        <v>130</v>
      </c>
      <c r="U142" s="94" t="s">
        <v>107</v>
      </c>
    </row>
    <row r="143" s="86" customFormat="1" ht="16.5" spans="1:21">
      <c r="A143" s="91" t="s">
        <v>361</v>
      </c>
      <c r="B143" s="91" t="s">
        <v>362</v>
      </c>
      <c r="C143" s="92" t="s">
        <v>584</v>
      </c>
      <c r="D143" s="93" t="s">
        <v>585</v>
      </c>
      <c r="E143" s="91" t="s">
        <v>98</v>
      </c>
      <c r="F143" s="91" t="s">
        <v>349</v>
      </c>
      <c r="G143" s="94"/>
      <c r="H143" s="92"/>
      <c r="I143" s="92" t="s">
        <v>172</v>
      </c>
      <c r="J143" s="92" t="s">
        <v>101</v>
      </c>
      <c r="K143" s="92"/>
      <c r="L143" s="94"/>
      <c r="M143" s="99">
        <v>2408</v>
      </c>
      <c r="N143" s="97">
        <v>0.06</v>
      </c>
      <c r="O143" s="99" t="s">
        <v>360</v>
      </c>
      <c r="P143" s="99">
        <v>2408</v>
      </c>
      <c r="Q143" s="99" t="s">
        <v>360</v>
      </c>
      <c r="R143" s="92" t="s">
        <v>124</v>
      </c>
      <c r="S143" s="92" t="s">
        <v>98</v>
      </c>
      <c r="T143" s="94" t="s">
        <v>130</v>
      </c>
      <c r="U143" s="94" t="s">
        <v>107</v>
      </c>
    </row>
    <row r="144" s="86" customFormat="1" ht="16.5" spans="1:21">
      <c r="A144" s="91" t="s">
        <v>361</v>
      </c>
      <c r="B144" s="91" t="s">
        <v>362</v>
      </c>
      <c r="C144" s="92" t="s">
        <v>586</v>
      </c>
      <c r="D144" s="93" t="s">
        <v>587</v>
      </c>
      <c r="E144" s="91" t="s">
        <v>98</v>
      </c>
      <c r="F144" s="91" t="s">
        <v>349</v>
      </c>
      <c r="G144" s="94"/>
      <c r="H144" s="92"/>
      <c r="I144" s="92" t="s">
        <v>172</v>
      </c>
      <c r="J144" s="92" t="s">
        <v>101</v>
      </c>
      <c r="K144" s="92"/>
      <c r="L144" s="94"/>
      <c r="M144" s="99">
        <v>2408</v>
      </c>
      <c r="N144" s="97">
        <v>0.06</v>
      </c>
      <c r="O144" s="99" t="s">
        <v>360</v>
      </c>
      <c r="P144" s="99">
        <v>2408</v>
      </c>
      <c r="Q144" s="99" t="s">
        <v>360</v>
      </c>
      <c r="R144" s="92" t="s">
        <v>124</v>
      </c>
      <c r="S144" s="92" t="s">
        <v>98</v>
      </c>
      <c r="T144" s="94" t="s">
        <v>130</v>
      </c>
      <c r="U144" s="94" t="s">
        <v>107</v>
      </c>
    </row>
    <row r="145" s="86" customFormat="1" ht="16.5" spans="1:21">
      <c r="A145" s="91" t="s">
        <v>361</v>
      </c>
      <c r="B145" s="91" t="s">
        <v>362</v>
      </c>
      <c r="C145" s="92" t="s">
        <v>588</v>
      </c>
      <c r="D145" s="93" t="s">
        <v>589</v>
      </c>
      <c r="E145" s="91" t="s">
        <v>98</v>
      </c>
      <c r="F145" s="91" t="s">
        <v>349</v>
      </c>
      <c r="G145" s="94"/>
      <c r="H145" s="92"/>
      <c r="I145" s="92" t="s">
        <v>172</v>
      </c>
      <c r="J145" s="92" t="s">
        <v>101</v>
      </c>
      <c r="K145" s="92"/>
      <c r="L145" s="94"/>
      <c r="M145" s="99">
        <v>2408</v>
      </c>
      <c r="N145" s="97">
        <v>0.06</v>
      </c>
      <c r="O145" s="99" t="s">
        <v>360</v>
      </c>
      <c r="P145" s="99">
        <v>2408</v>
      </c>
      <c r="Q145" s="99" t="s">
        <v>360</v>
      </c>
      <c r="R145" s="92" t="s">
        <v>124</v>
      </c>
      <c r="S145" s="92" t="s">
        <v>98</v>
      </c>
      <c r="T145" s="94" t="s">
        <v>130</v>
      </c>
      <c r="U145" s="94" t="s">
        <v>107</v>
      </c>
    </row>
    <row r="146" s="86" customFormat="1" ht="16.5" spans="1:21">
      <c r="A146" s="91" t="s">
        <v>361</v>
      </c>
      <c r="B146" s="91" t="s">
        <v>362</v>
      </c>
      <c r="C146" s="92" t="s">
        <v>590</v>
      </c>
      <c r="D146" s="93" t="s">
        <v>591</v>
      </c>
      <c r="E146" s="91" t="s">
        <v>98</v>
      </c>
      <c r="F146" s="91" t="s">
        <v>349</v>
      </c>
      <c r="G146" s="94"/>
      <c r="H146" s="92"/>
      <c r="I146" s="92" t="s">
        <v>172</v>
      </c>
      <c r="J146" s="92" t="s">
        <v>101</v>
      </c>
      <c r="K146" s="92"/>
      <c r="L146" s="94"/>
      <c r="M146" s="99">
        <v>2408</v>
      </c>
      <c r="N146" s="97">
        <v>0.06</v>
      </c>
      <c r="O146" s="99" t="s">
        <v>360</v>
      </c>
      <c r="P146" s="99">
        <v>2408</v>
      </c>
      <c r="Q146" s="99" t="s">
        <v>360</v>
      </c>
      <c r="R146" s="92" t="s">
        <v>124</v>
      </c>
      <c r="S146" s="92" t="s">
        <v>98</v>
      </c>
      <c r="T146" s="94" t="s">
        <v>130</v>
      </c>
      <c r="U146" s="94" t="s">
        <v>107</v>
      </c>
    </row>
    <row r="147" s="86" customFormat="1" ht="16.5" spans="1:21">
      <c r="A147" s="91" t="s">
        <v>361</v>
      </c>
      <c r="B147" s="91" t="s">
        <v>362</v>
      </c>
      <c r="C147" s="92" t="s">
        <v>592</v>
      </c>
      <c r="D147" s="93" t="s">
        <v>593</v>
      </c>
      <c r="E147" s="91" t="s">
        <v>98</v>
      </c>
      <c r="F147" s="91" t="s">
        <v>349</v>
      </c>
      <c r="G147" s="94"/>
      <c r="H147" s="92"/>
      <c r="I147" s="92" t="s">
        <v>172</v>
      </c>
      <c r="J147" s="92" t="s">
        <v>101</v>
      </c>
      <c r="K147" s="92"/>
      <c r="L147" s="94"/>
      <c r="M147" s="99">
        <v>2408</v>
      </c>
      <c r="N147" s="97">
        <v>0.06</v>
      </c>
      <c r="O147" s="99" t="s">
        <v>360</v>
      </c>
      <c r="P147" s="99">
        <v>2408</v>
      </c>
      <c r="Q147" s="99" t="s">
        <v>360</v>
      </c>
      <c r="R147" s="92" t="s">
        <v>124</v>
      </c>
      <c r="S147" s="92" t="s">
        <v>98</v>
      </c>
      <c r="T147" s="94" t="s">
        <v>130</v>
      </c>
      <c r="U147" s="94" t="s">
        <v>107</v>
      </c>
    </row>
    <row r="148" s="86" customFormat="1" ht="16.5" spans="1:21">
      <c r="A148" s="91" t="s">
        <v>361</v>
      </c>
      <c r="B148" s="91" t="s">
        <v>362</v>
      </c>
      <c r="C148" s="92" t="s">
        <v>594</v>
      </c>
      <c r="D148" s="93" t="s">
        <v>595</v>
      </c>
      <c r="E148" s="91" t="s">
        <v>98</v>
      </c>
      <c r="F148" s="91" t="s">
        <v>349</v>
      </c>
      <c r="G148" s="94"/>
      <c r="H148" s="92"/>
      <c r="I148" s="92" t="s">
        <v>172</v>
      </c>
      <c r="J148" s="92" t="s">
        <v>101</v>
      </c>
      <c r="K148" s="92"/>
      <c r="L148" s="94"/>
      <c r="M148" s="99">
        <v>2408</v>
      </c>
      <c r="N148" s="97">
        <v>0.06</v>
      </c>
      <c r="O148" s="99" t="s">
        <v>360</v>
      </c>
      <c r="P148" s="99">
        <v>2408</v>
      </c>
      <c r="Q148" s="99" t="s">
        <v>360</v>
      </c>
      <c r="R148" s="92" t="s">
        <v>124</v>
      </c>
      <c r="S148" s="92" t="s">
        <v>98</v>
      </c>
      <c r="T148" s="94" t="s">
        <v>130</v>
      </c>
      <c r="U148" s="94" t="s">
        <v>107</v>
      </c>
    </row>
    <row r="149" s="86" customFormat="1" ht="16.5" spans="1:21">
      <c r="A149" s="91" t="s">
        <v>361</v>
      </c>
      <c r="B149" s="91" t="s">
        <v>362</v>
      </c>
      <c r="C149" s="92" t="s">
        <v>596</v>
      </c>
      <c r="D149" s="93" t="s">
        <v>597</v>
      </c>
      <c r="E149" s="91" t="s">
        <v>98</v>
      </c>
      <c r="F149" s="91" t="s">
        <v>349</v>
      </c>
      <c r="G149" s="94"/>
      <c r="H149" s="92"/>
      <c r="I149" s="92" t="s">
        <v>172</v>
      </c>
      <c r="J149" s="92" t="s">
        <v>101</v>
      </c>
      <c r="K149" s="92"/>
      <c r="L149" s="94"/>
      <c r="M149" s="99">
        <v>2408</v>
      </c>
      <c r="N149" s="97">
        <v>0.06</v>
      </c>
      <c r="O149" s="99" t="s">
        <v>360</v>
      </c>
      <c r="P149" s="99">
        <v>2408</v>
      </c>
      <c r="Q149" s="99" t="s">
        <v>360</v>
      </c>
      <c r="R149" s="92" t="s">
        <v>124</v>
      </c>
      <c r="S149" s="92" t="s">
        <v>98</v>
      </c>
      <c r="T149" s="94" t="s">
        <v>130</v>
      </c>
      <c r="U149" s="94" t="s">
        <v>107</v>
      </c>
    </row>
    <row r="150" s="86" customFormat="1" ht="16.5" spans="1:21">
      <c r="A150" s="91" t="s">
        <v>361</v>
      </c>
      <c r="B150" s="91" t="s">
        <v>362</v>
      </c>
      <c r="C150" s="92" t="s">
        <v>598</v>
      </c>
      <c r="D150" s="93" t="s">
        <v>599</v>
      </c>
      <c r="E150" s="91" t="s">
        <v>98</v>
      </c>
      <c r="F150" s="91" t="s">
        <v>349</v>
      </c>
      <c r="G150" s="94"/>
      <c r="H150" s="92"/>
      <c r="I150" s="92" t="s">
        <v>172</v>
      </c>
      <c r="J150" s="92" t="s">
        <v>101</v>
      </c>
      <c r="K150" s="92"/>
      <c r="L150" s="94"/>
      <c r="M150" s="99">
        <v>2408</v>
      </c>
      <c r="N150" s="97">
        <v>0.06</v>
      </c>
      <c r="O150" s="99" t="s">
        <v>360</v>
      </c>
      <c r="P150" s="99">
        <v>2408</v>
      </c>
      <c r="Q150" s="99" t="s">
        <v>360</v>
      </c>
      <c r="R150" s="92" t="s">
        <v>124</v>
      </c>
      <c r="S150" s="92" t="s">
        <v>98</v>
      </c>
      <c r="T150" s="94" t="s">
        <v>130</v>
      </c>
      <c r="U150" s="94" t="s">
        <v>107</v>
      </c>
    </row>
    <row r="151" s="86" customFormat="1" ht="16.5" spans="1:21">
      <c r="A151" s="91" t="s">
        <v>361</v>
      </c>
      <c r="B151" s="91" t="s">
        <v>362</v>
      </c>
      <c r="C151" s="92" t="s">
        <v>600</v>
      </c>
      <c r="D151" s="93" t="s">
        <v>601</v>
      </c>
      <c r="E151" s="91" t="s">
        <v>98</v>
      </c>
      <c r="F151" s="91" t="s">
        <v>349</v>
      </c>
      <c r="G151" s="94"/>
      <c r="H151" s="92"/>
      <c r="I151" s="92" t="s">
        <v>172</v>
      </c>
      <c r="J151" s="92" t="s">
        <v>101</v>
      </c>
      <c r="K151" s="92"/>
      <c r="L151" s="94"/>
      <c r="M151" s="99">
        <v>2408</v>
      </c>
      <c r="N151" s="97">
        <v>0.06</v>
      </c>
      <c r="O151" s="99" t="s">
        <v>360</v>
      </c>
      <c r="P151" s="99">
        <v>2408</v>
      </c>
      <c r="Q151" s="99" t="s">
        <v>360</v>
      </c>
      <c r="R151" s="92" t="s">
        <v>124</v>
      </c>
      <c r="S151" s="92" t="s">
        <v>98</v>
      </c>
      <c r="T151" s="94" t="s">
        <v>130</v>
      </c>
      <c r="U151" s="94" t="s">
        <v>107</v>
      </c>
    </row>
    <row r="152" s="86" customFormat="1" ht="16.5" spans="1:21">
      <c r="A152" s="91" t="s">
        <v>361</v>
      </c>
      <c r="B152" s="91" t="s">
        <v>362</v>
      </c>
      <c r="C152" s="92" t="s">
        <v>602</v>
      </c>
      <c r="D152" s="93" t="s">
        <v>603</v>
      </c>
      <c r="E152" s="91" t="s">
        <v>98</v>
      </c>
      <c r="F152" s="91" t="s">
        <v>349</v>
      </c>
      <c r="G152" s="94"/>
      <c r="H152" s="92"/>
      <c r="I152" s="92" t="s">
        <v>172</v>
      </c>
      <c r="J152" s="92" t="s">
        <v>101</v>
      </c>
      <c r="K152" s="92"/>
      <c r="L152" s="94"/>
      <c r="M152" s="99">
        <v>2408</v>
      </c>
      <c r="N152" s="97">
        <v>0.06</v>
      </c>
      <c r="O152" s="99" t="s">
        <v>360</v>
      </c>
      <c r="P152" s="99">
        <v>2408</v>
      </c>
      <c r="Q152" s="99" t="s">
        <v>360</v>
      </c>
      <c r="R152" s="92" t="s">
        <v>124</v>
      </c>
      <c r="S152" s="92" t="s">
        <v>98</v>
      </c>
      <c r="T152" s="94" t="s">
        <v>130</v>
      </c>
      <c r="U152" s="94" t="s">
        <v>107</v>
      </c>
    </row>
    <row r="153" s="86" customFormat="1" ht="16.5" spans="1:21">
      <c r="A153" s="91" t="s">
        <v>361</v>
      </c>
      <c r="B153" s="91" t="s">
        <v>362</v>
      </c>
      <c r="C153" s="92" t="s">
        <v>604</v>
      </c>
      <c r="D153" s="93" t="s">
        <v>605</v>
      </c>
      <c r="E153" s="91" t="s">
        <v>98</v>
      </c>
      <c r="F153" s="91" t="s">
        <v>349</v>
      </c>
      <c r="G153" s="94"/>
      <c r="H153" s="92"/>
      <c r="I153" s="92" t="s">
        <v>172</v>
      </c>
      <c r="J153" s="92" t="s">
        <v>101</v>
      </c>
      <c r="K153" s="92"/>
      <c r="L153" s="94"/>
      <c r="M153" s="99">
        <v>2408</v>
      </c>
      <c r="N153" s="97">
        <v>0.06</v>
      </c>
      <c r="O153" s="99" t="s">
        <v>360</v>
      </c>
      <c r="P153" s="99">
        <v>2408</v>
      </c>
      <c r="Q153" s="99" t="s">
        <v>360</v>
      </c>
      <c r="R153" s="92" t="s">
        <v>124</v>
      </c>
      <c r="S153" s="92" t="s">
        <v>98</v>
      </c>
      <c r="T153" s="94" t="s">
        <v>130</v>
      </c>
      <c r="U153" s="94" t="s">
        <v>107</v>
      </c>
    </row>
    <row r="154" s="86" customFormat="1" ht="16.5" spans="1:21">
      <c r="A154" s="91" t="s">
        <v>361</v>
      </c>
      <c r="B154" s="91" t="s">
        <v>362</v>
      </c>
      <c r="C154" s="92" t="s">
        <v>606</v>
      </c>
      <c r="D154" s="93" t="s">
        <v>607</v>
      </c>
      <c r="E154" s="91" t="s">
        <v>98</v>
      </c>
      <c r="F154" s="91" t="s">
        <v>349</v>
      </c>
      <c r="G154" s="94"/>
      <c r="H154" s="92"/>
      <c r="I154" s="92" t="s">
        <v>172</v>
      </c>
      <c r="J154" s="92" t="s">
        <v>101</v>
      </c>
      <c r="K154" s="92"/>
      <c r="L154" s="94"/>
      <c r="M154" s="99">
        <v>2408</v>
      </c>
      <c r="N154" s="97">
        <v>0.06</v>
      </c>
      <c r="O154" s="99" t="s">
        <v>360</v>
      </c>
      <c r="P154" s="99">
        <v>2408</v>
      </c>
      <c r="Q154" s="99" t="s">
        <v>360</v>
      </c>
      <c r="R154" s="92" t="s">
        <v>124</v>
      </c>
      <c r="S154" s="92" t="s">
        <v>98</v>
      </c>
      <c r="T154" s="94" t="s">
        <v>130</v>
      </c>
      <c r="U154" s="94" t="s">
        <v>107</v>
      </c>
    </row>
    <row r="155" s="86" customFormat="1" ht="16.5" spans="1:21">
      <c r="A155" s="91" t="s">
        <v>361</v>
      </c>
      <c r="B155" s="91" t="s">
        <v>362</v>
      </c>
      <c r="C155" s="92" t="s">
        <v>608</v>
      </c>
      <c r="D155" s="93" t="s">
        <v>609</v>
      </c>
      <c r="E155" s="91" t="s">
        <v>98</v>
      </c>
      <c r="F155" s="91" t="s">
        <v>349</v>
      </c>
      <c r="G155" s="94"/>
      <c r="H155" s="92"/>
      <c r="I155" s="92" t="s">
        <v>172</v>
      </c>
      <c r="J155" s="92" t="s">
        <v>101</v>
      </c>
      <c r="K155" s="92"/>
      <c r="L155" s="94"/>
      <c r="M155" s="99">
        <v>2408</v>
      </c>
      <c r="N155" s="97">
        <v>0.06</v>
      </c>
      <c r="O155" s="99" t="s">
        <v>360</v>
      </c>
      <c r="P155" s="99">
        <v>2408</v>
      </c>
      <c r="Q155" s="99" t="s">
        <v>360</v>
      </c>
      <c r="R155" s="92" t="s">
        <v>124</v>
      </c>
      <c r="S155" s="92" t="s">
        <v>98</v>
      </c>
      <c r="T155" s="94" t="s">
        <v>130</v>
      </c>
      <c r="U155" s="94" t="s">
        <v>107</v>
      </c>
    </row>
    <row r="156" s="86" customFormat="1" ht="16.5" spans="1:21">
      <c r="A156" s="91" t="s">
        <v>361</v>
      </c>
      <c r="B156" s="91" t="s">
        <v>362</v>
      </c>
      <c r="C156" s="92" t="s">
        <v>610</v>
      </c>
      <c r="D156" s="93" t="s">
        <v>611</v>
      </c>
      <c r="E156" s="91" t="s">
        <v>98</v>
      </c>
      <c r="F156" s="91" t="s">
        <v>349</v>
      </c>
      <c r="G156" s="94"/>
      <c r="H156" s="92"/>
      <c r="I156" s="92" t="s">
        <v>172</v>
      </c>
      <c r="J156" s="92" t="s">
        <v>101</v>
      </c>
      <c r="K156" s="92"/>
      <c r="L156" s="94"/>
      <c r="M156" s="99">
        <v>2408</v>
      </c>
      <c r="N156" s="97">
        <v>0.06</v>
      </c>
      <c r="O156" s="99" t="s">
        <v>360</v>
      </c>
      <c r="P156" s="99">
        <v>2408</v>
      </c>
      <c r="Q156" s="99" t="s">
        <v>360</v>
      </c>
      <c r="R156" s="92" t="s">
        <v>124</v>
      </c>
      <c r="S156" s="92" t="s">
        <v>98</v>
      </c>
      <c r="T156" s="94" t="s">
        <v>130</v>
      </c>
      <c r="U156" s="94" t="s">
        <v>107</v>
      </c>
    </row>
    <row r="157" s="86" customFormat="1" ht="16.5" spans="1:21">
      <c r="A157" s="91" t="s">
        <v>361</v>
      </c>
      <c r="B157" s="91" t="s">
        <v>362</v>
      </c>
      <c r="C157" s="92" t="s">
        <v>612</v>
      </c>
      <c r="D157" s="93" t="s">
        <v>613</v>
      </c>
      <c r="E157" s="91" t="s">
        <v>98</v>
      </c>
      <c r="F157" s="91" t="s">
        <v>349</v>
      </c>
      <c r="G157" s="94"/>
      <c r="H157" s="92"/>
      <c r="I157" s="92" t="s">
        <v>172</v>
      </c>
      <c r="J157" s="92" t="s">
        <v>101</v>
      </c>
      <c r="K157" s="92"/>
      <c r="L157" s="94"/>
      <c r="M157" s="99">
        <v>2408</v>
      </c>
      <c r="N157" s="97">
        <v>0.06</v>
      </c>
      <c r="O157" s="99" t="s">
        <v>360</v>
      </c>
      <c r="P157" s="99">
        <v>2408</v>
      </c>
      <c r="Q157" s="99" t="s">
        <v>360</v>
      </c>
      <c r="R157" s="92" t="s">
        <v>124</v>
      </c>
      <c r="S157" s="92" t="s">
        <v>98</v>
      </c>
      <c r="T157" s="94" t="s">
        <v>130</v>
      </c>
      <c r="U157" s="94" t="s">
        <v>107</v>
      </c>
    </row>
    <row r="158" s="86" customFormat="1" ht="16.5" spans="1:21">
      <c r="A158" s="91" t="s">
        <v>361</v>
      </c>
      <c r="B158" s="91" t="s">
        <v>362</v>
      </c>
      <c r="C158" s="92" t="s">
        <v>614</v>
      </c>
      <c r="D158" s="93" t="s">
        <v>615</v>
      </c>
      <c r="E158" s="91" t="s">
        <v>98</v>
      </c>
      <c r="F158" s="91" t="s">
        <v>349</v>
      </c>
      <c r="G158" s="94"/>
      <c r="H158" s="92"/>
      <c r="I158" s="92" t="s">
        <v>172</v>
      </c>
      <c r="J158" s="92" t="s">
        <v>101</v>
      </c>
      <c r="K158" s="92"/>
      <c r="L158" s="94"/>
      <c r="M158" s="99">
        <v>2408</v>
      </c>
      <c r="N158" s="97">
        <v>0.06</v>
      </c>
      <c r="O158" s="99" t="s">
        <v>360</v>
      </c>
      <c r="P158" s="99">
        <v>2408</v>
      </c>
      <c r="Q158" s="99" t="s">
        <v>360</v>
      </c>
      <c r="R158" s="92" t="s">
        <v>124</v>
      </c>
      <c r="S158" s="92" t="s">
        <v>98</v>
      </c>
      <c r="T158" s="94" t="s">
        <v>130</v>
      </c>
      <c r="U158" s="94" t="s">
        <v>107</v>
      </c>
    </row>
    <row r="159" s="86" customFormat="1" ht="16.5" spans="1:21">
      <c r="A159" s="91" t="s">
        <v>361</v>
      </c>
      <c r="B159" s="91" t="s">
        <v>362</v>
      </c>
      <c r="C159" s="92" t="s">
        <v>616</v>
      </c>
      <c r="D159" s="93" t="s">
        <v>617</v>
      </c>
      <c r="E159" s="91" t="s">
        <v>98</v>
      </c>
      <c r="F159" s="91" t="s">
        <v>349</v>
      </c>
      <c r="G159" s="94"/>
      <c r="H159" s="92"/>
      <c r="I159" s="92" t="s">
        <v>172</v>
      </c>
      <c r="J159" s="92" t="s">
        <v>101</v>
      </c>
      <c r="K159" s="92"/>
      <c r="L159" s="94"/>
      <c r="M159" s="99">
        <v>2408</v>
      </c>
      <c r="N159" s="97">
        <v>0.06</v>
      </c>
      <c r="O159" s="99" t="s">
        <v>360</v>
      </c>
      <c r="P159" s="99">
        <v>2408</v>
      </c>
      <c r="Q159" s="99" t="s">
        <v>360</v>
      </c>
      <c r="R159" s="92" t="s">
        <v>124</v>
      </c>
      <c r="S159" s="92" t="s">
        <v>98</v>
      </c>
      <c r="T159" s="94" t="s">
        <v>130</v>
      </c>
      <c r="U159" s="94" t="s">
        <v>107</v>
      </c>
    </row>
    <row r="160" s="86" customFormat="1" ht="16.5" spans="1:21">
      <c r="A160" s="91" t="s">
        <v>361</v>
      </c>
      <c r="B160" s="91" t="s">
        <v>362</v>
      </c>
      <c r="C160" s="92" t="s">
        <v>618</v>
      </c>
      <c r="D160" s="93" t="s">
        <v>619</v>
      </c>
      <c r="E160" s="91" t="s">
        <v>98</v>
      </c>
      <c r="F160" s="91" t="s">
        <v>99</v>
      </c>
      <c r="G160" s="94"/>
      <c r="H160" s="92"/>
      <c r="I160" s="92" t="s">
        <v>172</v>
      </c>
      <c r="J160" s="92" t="s">
        <v>101</v>
      </c>
      <c r="K160" s="92"/>
      <c r="L160" s="94"/>
      <c r="M160" s="99">
        <v>2408</v>
      </c>
      <c r="N160" s="97">
        <v>0.06</v>
      </c>
      <c r="O160" s="99" t="s">
        <v>360</v>
      </c>
      <c r="P160" s="99">
        <v>2408</v>
      </c>
      <c r="Q160" s="99" t="s">
        <v>360</v>
      </c>
      <c r="R160" s="92" t="s">
        <v>98</v>
      </c>
      <c r="S160" s="92" t="s">
        <v>98</v>
      </c>
      <c r="T160" s="94" t="s">
        <v>130</v>
      </c>
      <c r="U160" s="94" t="s">
        <v>107</v>
      </c>
    </row>
    <row r="161" s="86" customFormat="1" ht="16.5" spans="1:21">
      <c r="A161" s="91" t="s">
        <v>361</v>
      </c>
      <c r="B161" s="91" t="s">
        <v>362</v>
      </c>
      <c r="C161" s="92" t="s">
        <v>620</v>
      </c>
      <c r="D161" s="93" t="s">
        <v>621</v>
      </c>
      <c r="E161" s="91" t="s">
        <v>98</v>
      </c>
      <c r="F161" s="91" t="s">
        <v>349</v>
      </c>
      <c r="G161" s="94"/>
      <c r="H161" s="92"/>
      <c r="I161" s="92" t="s">
        <v>172</v>
      </c>
      <c r="J161" s="92" t="s">
        <v>101</v>
      </c>
      <c r="K161" s="92"/>
      <c r="L161" s="94"/>
      <c r="M161" s="99">
        <v>2408</v>
      </c>
      <c r="N161" s="97">
        <v>0.06</v>
      </c>
      <c r="O161" s="99" t="s">
        <v>360</v>
      </c>
      <c r="P161" s="99">
        <v>2408</v>
      </c>
      <c r="Q161" s="99" t="s">
        <v>360</v>
      </c>
      <c r="R161" s="92" t="s">
        <v>124</v>
      </c>
      <c r="S161" s="92" t="s">
        <v>98</v>
      </c>
      <c r="T161" s="94" t="s">
        <v>130</v>
      </c>
      <c r="U161" s="94" t="s">
        <v>107</v>
      </c>
    </row>
    <row r="162" s="86" customFormat="1" ht="16.5" spans="1:21">
      <c r="A162" s="91" t="s">
        <v>361</v>
      </c>
      <c r="B162" s="91" t="s">
        <v>362</v>
      </c>
      <c r="C162" s="92" t="s">
        <v>622</v>
      </c>
      <c r="D162" s="93" t="s">
        <v>623</v>
      </c>
      <c r="E162" s="91" t="s">
        <v>98</v>
      </c>
      <c r="F162" s="91" t="s">
        <v>349</v>
      </c>
      <c r="G162" s="94"/>
      <c r="H162" s="92"/>
      <c r="I162" s="92" t="s">
        <v>172</v>
      </c>
      <c r="J162" s="92" t="s">
        <v>101</v>
      </c>
      <c r="K162" s="92"/>
      <c r="L162" s="94"/>
      <c r="M162" s="99">
        <v>2408</v>
      </c>
      <c r="N162" s="97">
        <v>0.06</v>
      </c>
      <c r="O162" s="99" t="s">
        <v>360</v>
      </c>
      <c r="P162" s="99">
        <v>2408</v>
      </c>
      <c r="Q162" s="99" t="s">
        <v>360</v>
      </c>
      <c r="R162" s="92" t="s">
        <v>124</v>
      </c>
      <c r="S162" s="92" t="s">
        <v>98</v>
      </c>
      <c r="T162" s="94" t="s">
        <v>130</v>
      </c>
      <c r="U162" s="94" t="s">
        <v>107</v>
      </c>
    </row>
    <row r="163" s="86" customFormat="1" ht="16.5" spans="1:21">
      <c r="A163" s="91" t="s">
        <v>361</v>
      </c>
      <c r="B163" s="91" t="s">
        <v>362</v>
      </c>
      <c r="C163" s="92" t="s">
        <v>624</v>
      </c>
      <c r="D163" s="93" t="s">
        <v>625</v>
      </c>
      <c r="E163" s="91" t="s">
        <v>98</v>
      </c>
      <c r="F163" s="91" t="s">
        <v>349</v>
      </c>
      <c r="G163" s="94"/>
      <c r="H163" s="92"/>
      <c r="I163" s="92" t="s">
        <v>172</v>
      </c>
      <c r="J163" s="92" t="s">
        <v>101</v>
      </c>
      <c r="K163" s="92"/>
      <c r="L163" s="94"/>
      <c r="M163" s="99">
        <v>2408</v>
      </c>
      <c r="N163" s="97">
        <v>0.06</v>
      </c>
      <c r="O163" s="99" t="s">
        <v>360</v>
      </c>
      <c r="P163" s="99">
        <v>2408</v>
      </c>
      <c r="Q163" s="99" t="s">
        <v>360</v>
      </c>
      <c r="R163" s="92" t="s">
        <v>124</v>
      </c>
      <c r="S163" s="92" t="s">
        <v>98</v>
      </c>
      <c r="T163" s="94" t="s">
        <v>130</v>
      </c>
      <c r="U163" s="94" t="s">
        <v>107</v>
      </c>
    </row>
    <row r="164" s="86" customFormat="1" ht="16.5" spans="1:21">
      <c r="A164" s="91" t="s">
        <v>361</v>
      </c>
      <c r="B164" s="91" t="s">
        <v>362</v>
      </c>
      <c r="C164" s="92" t="s">
        <v>626</v>
      </c>
      <c r="D164" s="93" t="s">
        <v>627</v>
      </c>
      <c r="E164" s="91" t="s">
        <v>98</v>
      </c>
      <c r="F164" s="91" t="s">
        <v>349</v>
      </c>
      <c r="G164" s="94"/>
      <c r="H164" s="92"/>
      <c r="I164" s="92" t="s">
        <v>172</v>
      </c>
      <c r="J164" s="92" t="s">
        <v>101</v>
      </c>
      <c r="K164" s="92"/>
      <c r="L164" s="94"/>
      <c r="M164" s="99">
        <v>2408</v>
      </c>
      <c r="N164" s="97">
        <v>0.06</v>
      </c>
      <c r="O164" s="99" t="s">
        <v>360</v>
      </c>
      <c r="P164" s="99">
        <v>2408</v>
      </c>
      <c r="Q164" s="99" t="s">
        <v>360</v>
      </c>
      <c r="R164" s="92" t="s">
        <v>124</v>
      </c>
      <c r="S164" s="92" t="s">
        <v>98</v>
      </c>
      <c r="T164" s="94" t="s">
        <v>130</v>
      </c>
      <c r="U164" s="94" t="s">
        <v>107</v>
      </c>
    </row>
    <row r="165" s="86" customFormat="1" ht="16.5" spans="1:21">
      <c r="A165" s="91" t="s">
        <v>361</v>
      </c>
      <c r="B165" s="91" t="s">
        <v>362</v>
      </c>
      <c r="C165" s="92" t="s">
        <v>628</v>
      </c>
      <c r="D165" s="93" t="s">
        <v>629</v>
      </c>
      <c r="E165" s="91" t="s">
        <v>98</v>
      </c>
      <c r="F165" s="91" t="s">
        <v>349</v>
      </c>
      <c r="G165" s="94"/>
      <c r="H165" s="92"/>
      <c r="I165" s="92" t="s">
        <v>172</v>
      </c>
      <c r="J165" s="92" t="s">
        <v>101</v>
      </c>
      <c r="K165" s="92"/>
      <c r="L165" s="94"/>
      <c r="M165" s="99">
        <v>2408</v>
      </c>
      <c r="N165" s="97">
        <v>0.06</v>
      </c>
      <c r="O165" s="99" t="s">
        <v>360</v>
      </c>
      <c r="P165" s="99">
        <v>2408</v>
      </c>
      <c r="Q165" s="99" t="s">
        <v>360</v>
      </c>
      <c r="R165" s="92" t="s">
        <v>124</v>
      </c>
      <c r="S165" s="92" t="s">
        <v>98</v>
      </c>
      <c r="T165" s="94" t="s">
        <v>130</v>
      </c>
      <c r="U165" s="94" t="s">
        <v>107</v>
      </c>
    </row>
    <row r="166" s="86" customFormat="1" ht="16.5" spans="1:21">
      <c r="A166" s="91" t="s">
        <v>361</v>
      </c>
      <c r="B166" s="91" t="s">
        <v>362</v>
      </c>
      <c r="C166" s="92" t="s">
        <v>630</v>
      </c>
      <c r="D166" s="93" t="s">
        <v>631</v>
      </c>
      <c r="E166" s="91" t="s">
        <v>98</v>
      </c>
      <c r="F166" s="91" t="s">
        <v>349</v>
      </c>
      <c r="G166" s="94"/>
      <c r="H166" s="92"/>
      <c r="I166" s="92" t="s">
        <v>172</v>
      </c>
      <c r="J166" s="92" t="s">
        <v>101</v>
      </c>
      <c r="K166" s="92"/>
      <c r="L166" s="94"/>
      <c r="M166" s="99">
        <v>2408</v>
      </c>
      <c r="N166" s="97">
        <v>0.06</v>
      </c>
      <c r="O166" s="99" t="s">
        <v>360</v>
      </c>
      <c r="P166" s="99">
        <v>2408</v>
      </c>
      <c r="Q166" s="99" t="s">
        <v>360</v>
      </c>
      <c r="R166" s="92" t="s">
        <v>124</v>
      </c>
      <c r="S166" s="92" t="s">
        <v>98</v>
      </c>
      <c r="T166" s="94" t="s">
        <v>130</v>
      </c>
      <c r="U166" s="94" t="s">
        <v>107</v>
      </c>
    </row>
    <row r="167" s="86" customFormat="1" ht="16.5" spans="1:21">
      <c r="A167" s="91" t="s">
        <v>361</v>
      </c>
      <c r="B167" s="91" t="s">
        <v>362</v>
      </c>
      <c r="C167" s="92" t="s">
        <v>632</v>
      </c>
      <c r="D167" s="93" t="s">
        <v>633</v>
      </c>
      <c r="E167" s="91" t="s">
        <v>98</v>
      </c>
      <c r="F167" s="91" t="s">
        <v>349</v>
      </c>
      <c r="G167" s="94"/>
      <c r="H167" s="92"/>
      <c r="I167" s="92" t="s">
        <v>172</v>
      </c>
      <c r="J167" s="92" t="s">
        <v>101</v>
      </c>
      <c r="K167" s="92"/>
      <c r="L167" s="94"/>
      <c r="M167" s="99">
        <v>2408</v>
      </c>
      <c r="N167" s="97">
        <v>0.06</v>
      </c>
      <c r="O167" s="99" t="s">
        <v>360</v>
      </c>
      <c r="P167" s="99">
        <v>2408</v>
      </c>
      <c r="Q167" s="99" t="s">
        <v>360</v>
      </c>
      <c r="R167" s="92" t="s">
        <v>124</v>
      </c>
      <c r="S167" s="92" t="s">
        <v>98</v>
      </c>
      <c r="T167" s="94" t="s">
        <v>130</v>
      </c>
      <c r="U167" s="94" t="s">
        <v>107</v>
      </c>
    </row>
    <row r="168" s="86" customFormat="1" ht="16.5" spans="1:21">
      <c r="A168" s="91" t="s">
        <v>361</v>
      </c>
      <c r="B168" s="91" t="s">
        <v>362</v>
      </c>
      <c r="C168" s="92" t="s">
        <v>634</v>
      </c>
      <c r="D168" s="93" t="s">
        <v>635</v>
      </c>
      <c r="E168" s="91" t="s">
        <v>98</v>
      </c>
      <c r="F168" s="91" t="s">
        <v>349</v>
      </c>
      <c r="G168" s="94"/>
      <c r="H168" s="92"/>
      <c r="I168" s="92" t="s">
        <v>172</v>
      </c>
      <c r="J168" s="92" t="s">
        <v>101</v>
      </c>
      <c r="K168" s="92"/>
      <c r="L168" s="94"/>
      <c r="M168" s="99">
        <v>2408</v>
      </c>
      <c r="N168" s="97">
        <v>0.06</v>
      </c>
      <c r="O168" s="99" t="s">
        <v>360</v>
      </c>
      <c r="P168" s="99">
        <v>2408</v>
      </c>
      <c r="Q168" s="99" t="s">
        <v>360</v>
      </c>
      <c r="R168" s="92" t="s">
        <v>124</v>
      </c>
      <c r="S168" s="92" t="s">
        <v>98</v>
      </c>
      <c r="T168" s="94" t="s">
        <v>130</v>
      </c>
      <c r="U168" s="94" t="s">
        <v>107</v>
      </c>
    </row>
    <row r="169" s="86" customFormat="1" ht="16.5" spans="1:21">
      <c r="A169" s="91" t="s">
        <v>361</v>
      </c>
      <c r="B169" s="91" t="s">
        <v>362</v>
      </c>
      <c r="C169" s="92" t="s">
        <v>636</v>
      </c>
      <c r="D169" s="93" t="s">
        <v>637</v>
      </c>
      <c r="E169" s="91" t="s">
        <v>98</v>
      </c>
      <c r="F169" s="91" t="s">
        <v>349</v>
      </c>
      <c r="G169" s="94"/>
      <c r="H169" s="92"/>
      <c r="I169" s="92" t="s">
        <v>172</v>
      </c>
      <c r="J169" s="92" t="s">
        <v>101</v>
      </c>
      <c r="K169" s="92"/>
      <c r="L169" s="94"/>
      <c r="M169" s="99">
        <v>2408</v>
      </c>
      <c r="N169" s="97">
        <v>0.06</v>
      </c>
      <c r="O169" s="99" t="s">
        <v>360</v>
      </c>
      <c r="P169" s="99">
        <v>2408</v>
      </c>
      <c r="Q169" s="99" t="s">
        <v>360</v>
      </c>
      <c r="R169" s="92" t="s">
        <v>124</v>
      </c>
      <c r="S169" s="92" t="s">
        <v>98</v>
      </c>
      <c r="T169" s="94" t="s">
        <v>130</v>
      </c>
      <c r="U169" s="94" t="s">
        <v>107</v>
      </c>
    </row>
    <row r="170" s="86" customFormat="1" ht="16.5" spans="1:21">
      <c r="A170" s="91" t="s">
        <v>361</v>
      </c>
      <c r="B170" s="91" t="s">
        <v>362</v>
      </c>
      <c r="C170" s="92" t="s">
        <v>638</v>
      </c>
      <c r="D170" s="93" t="s">
        <v>639</v>
      </c>
      <c r="E170" s="91" t="s">
        <v>98</v>
      </c>
      <c r="F170" s="91" t="s">
        <v>349</v>
      </c>
      <c r="G170" s="94"/>
      <c r="H170" s="92"/>
      <c r="I170" s="92" t="s">
        <v>172</v>
      </c>
      <c r="J170" s="92" t="s">
        <v>101</v>
      </c>
      <c r="K170" s="92"/>
      <c r="L170" s="94"/>
      <c r="M170" s="99">
        <v>2408</v>
      </c>
      <c r="N170" s="97">
        <v>0.06</v>
      </c>
      <c r="O170" s="99" t="s">
        <v>360</v>
      </c>
      <c r="P170" s="99">
        <v>2408</v>
      </c>
      <c r="Q170" s="99" t="s">
        <v>360</v>
      </c>
      <c r="R170" s="92" t="s">
        <v>124</v>
      </c>
      <c r="S170" s="92" t="s">
        <v>98</v>
      </c>
      <c r="T170" s="94" t="s">
        <v>130</v>
      </c>
      <c r="U170" s="94" t="s">
        <v>107</v>
      </c>
    </row>
    <row r="171" s="86" customFormat="1" ht="16.5" spans="1:21">
      <c r="A171" s="91" t="s">
        <v>361</v>
      </c>
      <c r="B171" s="91" t="s">
        <v>362</v>
      </c>
      <c r="C171" s="92" t="s">
        <v>640</v>
      </c>
      <c r="D171" s="93" t="s">
        <v>641</v>
      </c>
      <c r="E171" s="91" t="s">
        <v>98</v>
      </c>
      <c r="F171" s="91" t="s">
        <v>349</v>
      </c>
      <c r="G171" s="94"/>
      <c r="H171" s="92"/>
      <c r="I171" s="92" t="s">
        <v>172</v>
      </c>
      <c r="J171" s="92" t="s">
        <v>101</v>
      </c>
      <c r="K171" s="92"/>
      <c r="L171" s="94"/>
      <c r="M171" s="99">
        <v>2408</v>
      </c>
      <c r="N171" s="97">
        <v>0.06</v>
      </c>
      <c r="O171" s="99" t="s">
        <v>360</v>
      </c>
      <c r="P171" s="99">
        <v>2408</v>
      </c>
      <c r="Q171" s="99" t="s">
        <v>360</v>
      </c>
      <c r="R171" s="92" t="s">
        <v>124</v>
      </c>
      <c r="S171" s="92" t="s">
        <v>98</v>
      </c>
      <c r="T171" s="94" t="s">
        <v>130</v>
      </c>
      <c r="U171" s="94" t="s">
        <v>107</v>
      </c>
    </row>
    <row r="172" s="86" customFormat="1" ht="16.5" spans="1:21">
      <c r="A172" s="91" t="s">
        <v>361</v>
      </c>
      <c r="B172" s="91" t="s">
        <v>362</v>
      </c>
      <c r="C172" s="92" t="s">
        <v>642</v>
      </c>
      <c r="D172" s="93" t="s">
        <v>643</v>
      </c>
      <c r="E172" s="91" t="s">
        <v>98</v>
      </c>
      <c r="F172" s="91" t="s">
        <v>349</v>
      </c>
      <c r="G172" s="94"/>
      <c r="H172" s="92"/>
      <c r="I172" s="92" t="s">
        <v>172</v>
      </c>
      <c r="J172" s="92" t="s">
        <v>101</v>
      </c>
      <c r="K172" s="92"/>
      <c r="L172" s="94"/>
      <c r="M172" s="99">
        <v>2408</v>
      </c>
      <c r="N172" s="97">
        <v>0.06</v>
      </c>
      <c r="O172" s="99" t="s">
        <v>360</v>
      </c>
      <c r="P172" s="99">
        <v>2408</v>
      </c>
      <c r="Q172" s="99" t="s">
        <v>360</v>
      </c>
      <c r="R172" s="92" t="s">
        <v>124</v>
      </c>
      <c r="S172" s="92" t="s">
        <v>98</v>
      </c>
      <c r="T172" s="94" t="s">
        <v>130</v>
      </c>
      <c r="U172" s="94" t="s">
        <v>107</v>
      </c>
    </row>
    <row r="173" s="86" customFormat="1" ht="16.5" spans="1:21">
      <c r="A173" s="91" t="s">
        <v>361</v>
      </c>
      <c r="B173" s="91" t="s">
        <v>433</v>
      </c>
      <c r="C173" s="92" t="s">
        <v>644</v>
      </c>
      <c r="D173" s="93" t="s">
        <v>645</v>
      </c>
      <c r="E173" s="91" t="s">
        <v>98</v>
      </c>
      <c r="F173" s="91" t="s">
        <v>99</v>
      </c>
      <c r="G173" s="94"/>
      <c r="H173" s="92"/>
      <c r="I173" s="92" t="s">
        <v>433</v>
      </c>
      <c r="J173" s="92" t="s">
        <v>101</v>
      </c>
      <c r="K173" s="92"/>
      <c r="L173" s="94"/>
      <c r="M173" s="99">
        <v>2771</v>
      </c>
      <c r="N173" s="97">
        <v>0.06</v>
      </c>
      <c r="O173" s="100" t="s">
        <v>646</v>
      </c>
      <c r="P173" s="99">
        <v>2771</v>
      </c>
      <c r="Q173" s="99" t="s">
        <v>646</v>
      </c>
      <c r="R173" s="92" t="s">
        <v>98</v>
      </c>
      <c r="S173" s="92" t="s">
        <v>124</v>
      </c>
      <c r="T173" s="94" t="s">
        <v>130</v>
      </c>
      <c r="U173" s="94" t="s">
        <v>107</v>
      </c>
    </row>
    <row r="174" s="86" customFormat="1" ht="16.5" spans="1:21">
      <c r="A174" s="91" t="s">
        <v>361</v>
      </c>
      <c r="B174" s="91" t="s">
        <v>362</v>
      </c>
      <c r="C174" s="92" t="s">
        <v>647</v>
      </c>
      <c r="D174" s="93" t="s">
        <v>648</v>
      </c>
      <c r="E174" s="91" t="s">
        <v>98</v>
      </c>
      <c r="F174" s="91" t="s">
        <v>99</v>
      </c>
      <c r="G174" s="94"/>
      <c r="H174" s="92"/>
      <c r="I174" s="92" t="s">
        <v>100</v>
      </c>
      <c r="J174" s="92" t="s">
        <v>101</v>
      </c>
      <c r="K174" s="92"/>
      <c r="L174" s="94"/>
      <c r="M174" s="99">
        <v>2997</v>
      </c>
      <c r="N174" s="97">
        <v>0.06</v>
      </c>
      <c r="O174" s="99" t="s">
        <v>649</v>
      </c>
      <c r="P174" s="99">
        <v>2997</v>
      </c>
      <c r="Q174" s="99" t="s">
        <v>650</v>
      </c>
      <c r="R174" s="92" t="s">
        <v>98</v>
      </c>
      <c r="S174" s="92" t="s">
        <v>98</v>
      </c>
      <c r="T174" s="94" t="s">
        <v>130</v>
      </c>
      <c r="U174" s="94" t="s">
        <v>107</v>
      </c>
    </row>
    <row r="175" s="86" customFormat="1" ht="16.5" spans="1:21">
      <c r="A175" s="91" t="s">
        <v>361</v>
      </c>
      <c r="B175" s="91" t="s">
        <v>362</v>
      </c>
      <c r="C175" s="92" t="s">
        <v>651</v>
      </c>
      <c r="D175" s="93" t="s">
        <v>652</v>
      </c>
      <c r="E175" s="91" t="s">
        <v>98</v>
      </c>
      <c r="F175" s="91" t="s">
        <v>99</v>
      </c>
      <c r="G175" s="94"/>
      <c r="H175" s="92"/>
      <c r="I175" s="92" t="s">
        <v>172</v>
      </c>
      <c r="J175" s="92" t="s">
        <v>101</v>
      </c>
      <c r="K175" s="92"/>
      <c r="L175" s="94"/>
      <c r="M175" s="99">
        <v>2836</v>
      </c>
      <c r="N175" s="97">
        <v>0.06</v>
      </c>
      <c r="O175" s="99" t="s">
        <v>653</v>
      </c>
      <c r="P175" s="99">
        <v>2836</v>
      </c>
      <c r="Q175" s="99" t="s">
        <v>653</v>
      </c>
      <c r="R175" s="92" t="s">
        <v>98</v>
      </c>
      <c r="S175" s="92" t="s">
        <v>98</v>
      </c>
      <c r="T175" s="94" t="s">
        <v>130</v>
      </c>
      <c r="U175" s="94" t="s">
        <v>107</v>
      </c>
    </row>
    <row r="176" s="86" customFormat="1" ht="16.5" spans="1:21">
      <c r="A176" s="91" t="s">
        <v>361</v>
      </c>
      <c r="B176" s="91" t="s">
        <v>362</v>
      </c>
      <c r="C176" s="92" t="s">
        <v>654</v>
      </c>
      <c r="D176" s="93" t="s">
        <v>655</v>
      </c>
      <c r="E176" s="91" t="s">
        <v>98</v>
      </c>
      <c r="F176" s="91" t="s">
        <v>99</v>
      </c>
      <c r="G176" s="94"/>
      <c r="H176" s="92"/>
      <c r="I176" s="92" t="s">
        <v>172</v>
      </c>
      <c r="J176" s="92" t="s">
        <v>101</v>
      </c>
      <c r="K176" s="92"/>
      <c r="L176" s="94"/>
      <c r="M176" s="99">
        <v>2837</v>
      </c>
      <c r="N176" s="97">
        <v>0.06</v>
      </c>
      <c r="O176" s="99" t="s">
        <v>656</v>
      </c>
      <c r="P176" s="99">
        <v>2837</v>
      </c>
      <c r="Q176" s="99" t="s">
        <v>656</v>
      </c>
      <c r="R176" s="92" t="s">
        <v>98</v>
      </c>
      <c r="S176" s="92" t="s">
        <v>98</v>
      </c>
      <c r="T176" s="94" t="s">
        <v>130</v>
      </c>
      <c r="U176" s="94" t="s">
        <v>107</v>
      </c>
    </row>
    <row r="177" s="86" customFormat="1" ht="16.5" spans="1:21">
      <c r="A177" s="91" t="s">
        <v>361</v>
      </c>
      <c r="B177" s="91" t="s">
        <v>362</v>
      </c>
      <c r="C177" s="92" t="s">
        <v>657</v>
      </c>
      <c r="D177" s="93" t="s">
        <v>658</v>
      </c>
      <c r="E177" s="91" t="s">
        <v>98</v>
      </c>
      <c r="F177" s="91" t="s">
        <v>99</v>
      </c>
      <c r="G177" s="94"/>
      <c r="H177" s="92"/>
      <c r="I177" s="92" t="s">
        <v>172</v>
      </c>
      <c r="J177" s="92" t="s">
        <v>101</v>
      </c>
      <c r="K177" s="92"/>
      <c r="L177" s="94"/>
      <c r="M177" s="99">
        <v>1947</v>
      </c>
      <c r="N177" s="97">
        <v>0.06</v>
      </c>
      <c r="O177" s="99" t="s">
        <v>659</v>
      </c>
      <c r="P177" s="99">
        <v>1947</v>
      </c>
      <c r="Q177" s="99" t="s">
        <v>659</v>
      </c>
      <c r="R177" s="92" t="s">
        <v>98</v>
      </c>
      <c r="S177" s="92" t="s">
        <v>98</v>
      </c>
      <c r="T177" s="94" t="s">
        <v>130</v>
      </c>
      <c r="U177" s="94" t="s">
        <v>107</v>
      </c>
    </row>
    <row r="178" s="86" customFormat="1" ht="16.5" spans="1:21">
      <c r="A178" s="91" t="s">
        <v>361</v>
      </c>
      <c r="B178" s="91" t="s">
        <v>362</v>
      </c>
      <c r="C178" s="92" t="s">
        <v>660</v>
      </c>
      <c r="D178" s="93" t="s">
        <v>661</v>
      </c>
      <c r="E178" s="91" t="s">
        <v>98</v>
      </c>
      <c r="F178" s="91" t="s">
        <v>99</v>
      </c>
      <c r="G178" s="94"/>
      <c r="H178" s="92"/>
      <c r="I178" s="92" t="s">
        <v>172</v>
      </c>
      <c r="J178" s="92" t="s">
        <v>101</v>
      </c>
      <c r="K178" s="92"/>
      <c r="L178" s="94"/>
      <c r="M178" s="99">
        <v>2837</v>
      </c>
      <c r="N178" s="97">
        <v>0.06</v>
      </c>
      <c r="O178" s="99" t="s">
        <v>656</v>
      </c>
      <c r="P178" s="99">
        <v>2837</v>
      </c>
      <c r="Q178" s="99" t="s">
        <v>656</v>
      </c>
      <c r="R178" s="92" t="s">
        <v>98</v>
      </c>
      <c r="S178" s="92" t="s">
        <v>98</v>
      </c>
      <c r="T178" s="94" t="s">
        <v>130</v>
      </c>
      <c r="U178" s="94" t="s">
        <v>107</v>
      </c>
    </row>
    <row r="179" s="86" customFormat="1" ht="16.5" spans="1:21">
      <c r="A179" s="91" t="s">
        <v>361</v>
      </c>
      <c r="B179" s="91" t="s">
        <v>433</v>
      </c>
      <c r="C179" s="92" t="s">
        <v>662</v>
      </c>
      <c r="D179" s="93" t="s">
        <v>663</v>
      </c>
      <c r="E179" s="91" t="s">
        <v>98</v>
      </c>
      <c r="F179" s="91" t="s">
        <v>349</v>
      </c>
      <c r="G179" s="94"/>
      <c r="H179" s="92"/>
      <c r="I179" s="92" t="s">
        <v>433</v>
      </c>
      <c r="J179" s="92"/>
      <c r="K179" s="92"/>
      <c r="L179" s="94"/>
      <c r="M179" s="99">
        <v>2771</v>
      </c>
      <c r="N179" s="97">
        <v>0.06</v>
      </c>
      <c r="O179" s="100" t="s">
        <v>646</v>
      </c>
      <c r="P179" s="99">
        <v>2771</v>
      </c>
      <c r="Q179" s="99" t="s">
        <v>646</v>
      </c>
      <c r="R179" s="92" t="s">
        <v>124</v>
      </c>
      <c r="S179" s="92" t="s">
        <v>124</v>
      </c>
      <c r="T179" s="94" t="s">
        <v>130</v>
      </c>
      <c r="U179" s="94" t="s">
        <v>107</v>
      </c>
    </row>
    <row r="180" s="86" customFormat="1" ht="16.5" spans="1:21">
      <c r="A180" s="91" t="s">
        <v>361</v>
      </c>
      <c r="B180" s="91" t="s">
        <v>362</v>
      </c>
      <c r="C180" s="92" t="s">
        <v>664</v>
      </c>
      <c r="D180" s="93" t="s">
        <v>665</v>
      </c>
      <c r="E180" s="91" t="s">
        <v>98</v>
      </c>
      <c r="F180" s="91" t="s">
        <v>349</v>
      </c>
      <c r="G180" s="94"/>
      <c r="H180" s="92"/>
      <c r="I180" s="92" t="s">
        <v>172</v>
      </c>
      <c r="J180" s="92" t="s">
        <v>101</v>
      </c>
      <c r="K180" s="92"/>
      <c r="L180" s="94"/>
      <c r="M180" s="99">
        <v>2408</v>
      </c>
      <c r="N180" s="97">
        <v>0.06</v>
      </c>
      <c r="O180" s="99" t="s">
        <v>360</v>
      </c>
      <c r="P180" s="99">
        <v>2408</v>
      </c>
      <c r="Q180" s="99" t="s">
        <v>360</v>
      </c>
      <c r="R180" s="92" t="s">
        <v>124</v>
      </c>
      <c r="S180" s="92" t="s">
        <v>98</v>
      </c>
      <c r="T180" s="94" t="s">
        <v>130</v>
      </c>
      <c r="U180" s="94" t="s">
        <v>107</v>
      </c>
    </row>
    <row r="181" s="86" customFormat="1" ht="16.5" spans="1:21">
      <c r="A181" s="91" t="s">
        <v>361</v>
      </c>
      <c r="B181" s="91" t="s">
        <v>362</v>
      </c>
      <c r="C181" s="92" t="s">
        <v>666</v>
      </c>
      <c r="D181" s="93" t="s">
        <v>667</v>
      </c>
      <c r="E181" s="91" t="s">
        <v>98</v>
      </c>
      <c r="F181" s="91" t="s">
        <v>349</v>
      </c>
      <c r="G181" s="94"/>
      <c r="H181" s="92"/>
      <c r="I181" s="92" t="s">
        <v>172</v>
      </c>
      <c r="J181" s="92" t="s">
        <v>101</v>
      </c>
      <c r="K181" s="92"/>
      <c r="L181" s="94"/>
      <c r="M181" s="99">
        <v>2408</v>
      </c>
      <c r="N181" s="97">
        <v>0.06</v>
      </c>
      <c r="O181" s="99" t="s">
        <v>360</v>
      </c>
      <c r="P181" s="99">
        <v>2408</v>
      </c>
      <c r="Q181" s="99" t="s">
        <v>360</v>
      </c>
      <c r="R181" s="92" t="s">
        <v>124</v>
      </c>
      <c r="S181" s="92" t="s">
        <v>98</v>
      </c>
      <c r="T181" s="94" t="s">
        <v>130</v>
      </c>
      <c r="U181" s="94" t="s">
        <v>107</v>
      </c>
    </row>
    <row r="182" s="86" customFormat="1" ht="16.5" spans="1:21">
      <c r="A182" s="91" t="s">
        <v>361</v>
      </c>
      <c r="B182" s="91" t="s">
        <v>362</v>
      </c>
      <c r="C182" s="92" t="s">
        <v>668</v>
      </c>
      <c r="D182" s="93" t="s">
        <v>669</v>
      </c>
      <c r="E182" s="91" t="s">
        <v>98</v>
      </c>
      <c r="F182" s="91" t="s">
        <v>349</v>
      </c>
      <c r="G182" s="94"/>
      <c r="H182" s="92"/>
      <c r="I182" s="92" t="s">
        <v>172</v>
      </c>
      <c r="J182" s="92" t="s">
        <v>101</v>
      </c>
      <c r="K182" s="92"/>
      <c r="L182" s="94"/>
      <c r="M182" s="99">
        <v>2408</v>
      </c>
      <c r="N182" s="97">
        <v>0.06</v>
      </c>
      <c r="O182" s="99" t="s">
        <v>360</v>
      </c>
      <c r="P182" s="99">
        <v>2408</v>
      </c>
      <c r="Q182" s="99" t="s">
        <v>360</v>
      </c>
      <c r="R182" s="92" t="s">
        <v>124</v>
      </c>
      <c r="S182" s="92" t="s">
        <v>98</v>
      </c>
      <c r="T182" s="94" t="s">
        <v>130</v>
      </c>
      <c r="U182" s="94" t="s">
        <v>107</v>
      </c>
    </row>
    <row r="183" s="86" customFormat="1" ht="16.5" spans="1:21">
      <c r="A183" s="91" t="s">
        <v>670</v>
      </c>
      <c r="B183" s="91" t="s">
        <v>671</v>
      </c>
      <c r="C183" s="92" t="s">
        <v>672</v>
      </c>
      <c r="D183" s="93" t="s">
        <v>673</v>
      </c>
      <c r="E183" s="91" t="s">
        <v>98</v>
      </c>
      <c r="F183" s="91" t="s">
        <v>349</v>
      </c>
      <c r="G183" s="94"/>
      <c r="H183" s="92"/>
      <c r="I183" s="92" t="s">
        <v>674</v>
      </c>
      <c r="J183" s="92"/>
      <c r="K183" s="92"/>
      <c r="L183" s="94"/>
      <c r="M183" s="99">
        <v>2917</v>
      </c>
      <c r="N183" s="97">
        <v>0.06</v>
      </c>
      <c r="O183" s="99" t="s">
        <v>675</v>
      </c>
      <c r="P183" s="99">
        <v>2917</v>
      </c>
      <c r="Q183" s="99" t="s">
        <v>675</v>
      </c>
      <c r="R183" s="92" t="s">
        <v>124</v>
      </c>
      <c r="S183" s="92" t="s">
        <v>98</v>
      </c>
      <c r="T183" s="94" t="s">
        <v>130</v>
      </c>
      <c r="U183" s="94" t="s">
        <v>107</v>
      </c>
    </row>
    <row r="184" s="86" customFormat="1" ht="16.5" spans="1:21">
      <c r="A184" s="91" t="s">
        <v>670</v>
      </c>
      <c r="B184" s="91" t="s">
        <v>671</v>
      </c>
      <c r="C184" s="92" t="s">
        <v>676</v>
      </c>
      <c r="D184" s="93" t="s">
        <v>677</v>
      </c>
      <c r="E184" s="91" t="s">
        <v>98</v>
      </c>
      <c r="F184" s="91" t="s">
        <v>349</v>
      </c>
      <c r="G184" s="94"/>
      <c r="H184" s="92"/>
      <c r="I184" s="92" t="s">
        <v>674</v>
      </c>
      <c r="J184" s="92"/>
      <c r="K184" s="92"/>
      <c r="L184" s="94"/>
      <c r="M184" s="99">
        <v>2917</v>
      </c>
      <c r="N184" s="97">
        <v>0.06</v>
      </c>
      <c r="O184" s="99" t="s">
        <v>675</v>
      </c>
      <c r="P184" s="99">
        <v>2917</v>
      </c>
      <c r="Q184" s="99" t="s">
        <v>675</v>
      </c>
      <c r="R184" s="92" t="s">
        <v>124</v>
      </c>
      <c r="S184" s="92" t="s">
        <v>98</v>
      </c>
      <c r="T184" s="94" t="s">
        <v>130</v>
      </c>
      <c r="U184" s="94" t="s">
        <v>107</v>
      </c>
    </row>
    <row r="185" s="86" customFormat="1" ht="16.5" spans="1:21">
      <c r="A185" s="91" t="s">
        <v>670</v>
      </c>
      <c r="B185" s="91" t="s">
        <v>671</v>
      </c>
      <c r="C185" s="92" t="s">
        <v>678</v>
      </c>
      <c r="D185" s="93" t="s">
        <v>679</v>
      </c>
      <c r="E185" s="91" t="s">
        <v>98</v>
      </c>
      <c r="F185" s="91" t="s">
        <v>349</v>
      </c>
      <c r="G185" s="94"/>
      <c r="H185" s="92"/>
      <c r="I185" s="92" t="s">
        <v>674</v>
      </c>
      <c r="J185" s="92"/>
      <c r="K185" s="92"/>
      <c r="L185" s="94"/>
      <c r="M185" s="99">
        <v>2917</v>
      </c>
      <c r="N185" s="97">
        <v>0.06</v>
      </c>
      <c r="O185" s="99" t="s">
        <v>675</v>
      </c>
      <c r="P185" s="99">
        <v>2917</v>
      </c>
      <c r="Q185" s="99" t="s">
        <v>675</v>
      </c>
      <c r="R185" s="92" t="s">
        <v>124</v>
      </c>
      <c r="S185" s="92" t="s">
        <v>98</v>
      </c>
      <c r="T185" s="94" t="s">
        <v>130</v>
      </c>
      <c r="U185" s="94" t="s">
        <v>107</v>
      </c>
    </row>
    <row r="186" s="86" customFormat="1" ht="16.5" spans="1:21">
      <c r="A186" s="91" t="s">
        <v>670</v>
      </c>
      <c r="B186" s="91" t="s">
        <v>671</v>
      </c>
      <c r="C186" s="92" t="s">
        <v>680</v>
      </c>
      <c r="D186" s="93" t="s">
        <v>681</v>
      </c>
      <c r="E186" s="91" t="s">
        <v>98</v>
      </c>
      <c r="F186" s="91" t="s">
        <v>349</v>
      </c>
      <c r="G186" s="94"/>
      <c r="H186" s="92"/>
      <c r="I186" s="92" t="s">
        <v>674</v>
      </c>
      <c r="J186" s="92"/>
      <c r="K186" s="92"/>
      <c r="L186" s="94"/>
      <c r="M186" s="99">
        <v>2917</v>
      </c>
      <c r="N186" s="97">
        <v>0.06</v>
      </c>
      <c r="O186" s="99" t="s">
        <v>675</v>
      </c>
      <c r="P186" s="99">
        <v>2917</v>
      </c>
      <c r="Q186" s="99" t="s">
        <v>675</v>
      </c>
      <c r="R186" s="92" t="s">
        <v>124</v>
      </c>
      <c r="S186" s="92" t="s">
        <v>98</v>
      </c>
      <c r="T186" s="94" t="s">
        <v>130</v>
      </c>
      <c r="U186" s="94" t="s">
        <v>107</v>
      </c>
    </row>
    <row r="187" s="86" customFormat="1" ht="16.5" spans="1:21">
      <c r="A187" s="91" t="s">
        <v>670</v>
      </c>
      <c r="B187" s="91" t="s">
        <v>671</v>
      </c>
      <c r="C187" s="92" t="s">
        <v>682</v>
      </c>
      <c r="D187" s="93" t="s">
        <v>683</v>
      </c>
      <c r="E187" s="91" t="s">
        <v>98</v>
      </c>
      <c r="F187" s="91" t="s">
        <v>349</v>
      </c>
      <c r="G187" s="94"/>
      <c r="H187" s="92"/>
      <c r="I187" s="92" t="s">
        <v>674</v>
      </c>
      <c r="J187" s="92"/>
      <c r="K187" s="92"/>
      <c r="L187" s="94"/>
      <c r="M187" s="99">
        <v>2917</v>
      </c>
      <c r="N187" s="97">
        <v>0.06</v>
      </c>
      <c r="O187" s="99" t="s">
        <v>675</v>
      </c>
      <c r="P187" s="99">
        <v>2917</v>
      </c>
      <c r="Q187" s="99" t="s">
        <v>675</v>
      </c>
      <c r="R187" s="92" t="s">
        <v>124</v>
      </c>
      <c r="S187" s="92" t="s">
        <v>98</v>
      </c>
      <c r="T187" s="94" t="s">
        <v>130</v>
      </c>
      <c r="U187" s="94" t="s">
        <v>107</v>
      </c>
    </row>
    <row r="188" s="86" customFormat="1" ht="16.5" spans="1:21">
      <c r="A188" s="91" t="s">
        <v>670</v>
      </c>
      <c r="B188" s="91" t="s">
        <v>671</v>
      </c>
      <c r="C188" s="92" t="s">
        <v>684</v>
      </c>
      <c r="D188" s="93" t="s">
        <v>685</v>
      </c>
      <c r="E188" s="91" t="s">
        <v>98</v>
      </c>
      <c r="F188" s="91" t="s">
        <v>349</v>
      </c>
      <c r="G188" s="94"/>
      <c r="H188" s="92"/>
      <c r="I188" s="92" t="s">
        <v>674</v>
      </c>
      <c r="J188" s="92"/>
      <c r="K188" s="92"/>
      <c r="L188" s="94"/>
      <c r="M188" s="99">
        <v>2917</v>
      </c>
      <c r="N188" s="97">
        <v>0.06</v>
      </c>
      <c r="O188" s="99" t="s">
        <v>675</v>
      </c>
      <c r="P188" s="99">
        <v>2917</v>
      </c>
      <c r="Q188" s="99" t="s">
        <v>675</v>
      </c>
      <c r="R188" s="92" t="s">
        <v>124</v>
      </c>
      <c r="S188" s="92" t="s">
        <v>98</v>
      </c>
      <c r="T188" s="94" t="s">
        <v>130</v>
      </c>
      <c r="U188" s="94" t="s">
        <v>107</v>
      </c>
    </row>
    <row r="189" s="86" customFormat="1" ht="16.5" spans="1:21">
      <c r="A189" s="91" t="s">
        <v>670</v>
      </c>
      <c r="B189" s="91" t="s">
        <v>671</v>
      </c>
      <c r="C189" s="92" t="s">
        <v>686</v>
      </c>
      <c r="D189" s="93" t="s">
        <v>687</v>
      </c>
      <c r="E189" s="91" t="s">
        <v>98</v>
      </c>
      <c r="F189" s="91" t="s">
        <v>349</v>
      </c>
      <c r="G189" s="94"/>
      <c r="H189" s="92"/>
      <c r="I189" s="92" t="s">
        <v>674</v>
      </c>
      <c r="J189" s="92"/>
      <c r="K189" s="92"/>
      <c r="L189" s="94"/>
      <c r="M189" s="99">
        <v>2408</v>
      </c>
      <c r="N189" s="97">
        <v>0.06</v>
      </c>
      <c r="O189" s="99" t="s">
        <v>360</v>
      </c>
      <c r="P189" s="99">
        <v>2408</v>
      </c>
      <c r="Q189" s="99" t="s">
        <v>360</v>
      </c>
      <c r="R189" s="92" t="s">
        <v>124</v>
      </c>
      <c r="S189" s="92" t="s">
        <v>98</v>
      </c>
      <c r="T189" s="94" t="s">
        <v>130</v>
      </c>
      <c r="U189" s="94" t="s">
        <v>107</v>
      </c>
    </row>
    <row r="190" s="86" customFormat="1" ht="16.5" spans="1:21">
      <c r="A190" s="91" t="s">
        <v>670</v>
      </c>
      <c r="B190" s="91" t="s">
        <v>671</v>
      </c>
      <c r="C190" s="92" t="s">
        <v>688</v>
      </c>
      <c r="D190" s="93" t="s">
        <v>689</v>
      </c>
      <c r="E190" s="91" t="s">
        <v>98</v>
      </c>
      <c r="F190" s="91" t="s">
        <v>349</v>
      </c>
      <c r="G190" s="94"/>
      <c r="H190" s="92"/>
      <c r="I190" s="92" t="s">
        <v>401</v>
      </c>
      <c r="J190" s="92" t="s">
        <v>101</v>
      </c>
      <c r="K190" s="92"/>
      <c r="L190" s="94"/>
      <c r="M190" s="99">
        <v>2408</v>
      </c>
      <c r="N190" s="97">
        <v>0.06</v>
      </c>
      <c r="O190" s="99" t="s">
        <v>360</v>
      </c>
      <c r="P190" s="99">
        <v>2408</v>
      </c>
      <c r="Q190" s="99" t="s">
        <v>360</v>
      </c>
      <c r="R190" s="92" t="s">
        <v>124</v>
      </c>
      <c r="S190" s="92" t="s">
        <v>98</v>
      </c>
      <c r="T190" s="94" t="s">
        <v>130</v>
      </c>
      <c r="U190" s="94" t="s">
        <v>107</v>
      </c>
    </row>
    <row r="191" s="86" customFormat="1" ht="16.5" spans="1:21">
      <c r="A191" s="91" t="s">
        <v>670</v>
      </c>
      <c r="B191" s="91" t="s">
        <v>671</v>
      </c>
      <c r="C191" s="92" t="s">
        <v>690</v>
      </c>
      <c r="D191" s="93" t="s">
        <v>691</v>
      </c>
      <c r="E191" s="91" t="s">
        <v>98</v>
      </c>
      <c r="F191" s="91" t="s">
        <v>349</v>
      </c>
      <c r="G191" s="94" t="s">
        <v>195</v>
      </c>
      <c r="H191" s="92" t="s">
        <v>196</v>
      </c>
      <c r="I191" s="92" t="s">
        <v>401</v>
      </c>
      <c r="J191" s="92" t="s">
        <v>101</v>
      </c>
      <c r="K191" s="92"/>
      <c r="L191" s="94"/>
      <c r="M191" s="99">
        <v>2885</v>
      </c>
      <c r="N191" s="97">
        <v>0.06</v>
      </c>
      <c r="O191" s="99" t="s">
        <v>692</v>
      </c>
      <c r="P191" s="99">
        <v>2885</v>
      </c>
      <c r="Q191" s="99" t="s">
        <v>692</v>
      </c>
      <c r="R191" s="92" t="s">
        <v>124</v>
      </c>
      <c r="S191" s="92" t="s">
        <v>98</v>
      </c>
      <c r="T191" s="94" t="s">
        <v>130</v>
      </c>
      <c r="U191" s="94" t="s">
        <v>107</v>
      </c>
    </row>
    <row r="192" s="86" customFormat="1" ht="16.5" spans="1:21">
      <c r="A192" s="91" t="s">
        <v>670</v>
      </c>
      <c r="B192" s="91" t="s">
        <v>671</v>
      </c>
      <c r="C192" s="92" t="s">
        <v>693</v>
      </c>
      <c r="D192" s="93" t="s">
        <v>694</v>
      </c>
      <c r="E192" s="91" t="s">
        <v>98</v>
      </c>
      <c r="F192" s="91" t="s">
        <v>695</v>
      </c>
      <c r="G192" s="94"/>
      <c r="H192" s="92"/>
      <c r="I192" s="92" t="s">
        <v>401</v>
      </c>
      <c r="J192" s="92" t="s">
        <v>101</v>
      </c>
      <c r="K192" s="92"/>
      <c r="L192" s="94"/>
      <c r="M192" s="99">
        <v>2777</v>
      </c>
      <c r="N192" s="97">
        <v>0.06</v>
      </c>
      <c r="O192" s="99" t="s">
        <v>696</v>
      </c>
      <c r="P192" s="99">
        <v>2777</v>
      </c>
      <c r="Q192" s="99" t="s">
        <v>696</v>
      </c>
      <c r="R192" s="92" t="s">
        <v>124</v>
      </c>
      <c r="S192" s="92" t="s">
        <v>98</v>
      </c>
      <c r="T192" s="94" t="s">
        <v>130</v>
      </c>
      <c r="U192" s="94" t="s">
        <v>107</v>
      </c>
    </row>
    <row r="193" s="86" customFormat="1" ht="16.5" spans="1:21">
      <c r="A193" s="91" t="s">
        <v>670</v>
      </c>
      <c r="B193" s="91" t="s">
        <v>671</v>
      </c>
      <c r="C193" s="92" t="s">
        <v>697</v>
      </c>
      <c r="D193" s="93" t="s">
        <v>698</v>
      </c>
      <c r="E193" s="91" t="s">
        <v>124</v>
      </c>
      <c r="F193" s="91" t="s">
        <v>99</v>
      </c>
      <c r="G193" s="94"/>
      <c r="H193" s="92"/>
      <c r="I193" s="92" t="s">
        <v>674</v>
      </c>
      <c r="J193" s="92"/>
      <c r="K193" s="92"/>
      <c r="L193" s="94"/>
      <c r="M193" s="99">
        <v>1681</v>
      </c>
      <c r="N193" s="97">
        <v>0.06</v>
      </c>
      <c r="O193" s="99" t="s">
        <v>699</v>
      </c>
      <c r="P193" s="99" t="s">
        <v>700</v>
      </c>
      <c r="Q193" s="99" t="s">
        <v>701</v>
      </c>
      <c r="R193" s="92" t="s">
        <v>98</v>
      </c>
      <c r="S193" s="92" t="s">
        <v>98</v>
      </c>
      <c r="T193" s="94" t="s">
        <v>130</v>
      </c>
      <c r="U193" s="94" t="s">
        <v>107</v>
      </c>
    </row>
    <row r="194" s="86" customFormat="1" ht="16.5" spans="1:21">
      <c r="A194" s="91" t="s">
        <v>670</v>
      </c>
      <c r="B194" s="91" t="s">
        <v>671</v>
      </c>
      <c r="C194" s="92" t="s">
        <v>702</v>
      </c>
      <c r="D194" s="93" t="s">
        <v>703</v>
      </c>
      <c r="E194" s="91" t="s">
        <v>124</v>
      </c>
      <c r="F194" s="91" t="s">
        <v>99</v>
      </c>
      <c r="G194" s="94"/>
      <c r="H194" s="92"/>
      <c r="I194" s="92" t="s">
        <v>674</v>
      </c>
      <c r="J194" s="92"/>
      <c r="K194" s="92"/>
      <c r="L194" s="94"/>
      <c r="M194" s="99">
        <v>1681</v>
      </c>
      <c r="N194" s="97">
        <v>0.06</v>
      </c>
      <c r="O194" s="99" t="s">
        <v>699</v>
      </c>
      <c r="P194" s="99" t="s">
        <v>700</v>
      </c>
      <c r="Q194" s="99" t="s">
        <v>701</v>
      </c>
      <c r="R194" s="92" t="s">
        <v>98</v>
      </c>
      <c r="S194" s="92" t="s">
        <v>98</v>
      </c>
      <c r="T194" s="94" t="s">
        <v>130</v>
      </c>
      <c r="U194" s="94" t="s">
        <v>107</v>
      </c>
    </row>
    <row r="195" s="86" customFormat="1" ht="16.5" spans="1:21">
      <c r="A195" s="91" t="s">
        <v>704</v>
      </c>
      <c r="B195" s="91" t="s">
        <v>705</v>
      </c>
      <c r="C195" s="92" t="s">
        <v>706</v>
      </c>
      <c r="D195" s="93" t="s">
        <v>707</v>
      </c>
      <c r="E195" s="91" t="s">
        <v>98</v>
      </c>
      <c r="F195" s="91" t="s">
        <v>99</v>
      </c>
      <c r="G195" s="94" t="s">
        <v>126</v>
      </c>
      <c r="H195" s="92" t="s">
        <v>126</v>
      </c>
      <c r="I195" s="92" t="s">
        <v>354</v>
      </c>
      <c r="J195" s="92" t="s">
        <v>101</v>
      </c>
      <c r="K195" s="92"/>
      <c r="L195" s="94"/>
      <c r="M195" s="99">
        <v>1708</v>
      </c>
      <c r="N195" s="97">
        <v>0.06</v>
      </c>
      <c r="O195" s="99" t="s">
        <v>355</v>
      </c>
      <c r="P195" s="99" t="s">
        <v>708</v>
      </c>
      <c r="Q195" s="99" t="s">
        <v>709</v>
      </c>
      <c r="R195" s="92" t="s">
        <v>98</v>
      </c>
      <c r="S195" s="92" t="s">
        <v>124</v>
      </c>
      <c r="T195" s="94" t="s">
        <v>130</v>
      </c>
      <c r="U195" s="94" t="s">
        <v>107</v>
      </c>
    </row>
    <row r="196" s="86" customFormat="1" ht="16.5" spans="1:21">
      <c r="A196" s="91" t="s">
        <v>704</v>
      </c>
      <c r="B196" s="91" t="s">
        <v>705</v>
      </c>
      <c r="C196" s="92" t="s">
        <v>710</v>
      </c>
      <c r="D196" s="93" t="s">
        <v>354</v>
      </c>
      <c r="E196" s="91" t="s">
        <v>98</v>
      </c>
      <c r="F196" s="91" t="s">
        <v>695</v>
      </c>
      <c r="G196" s="94" t="s">
        <v>126</v>
      </c>
      <c r="H196" s="92" t="s">
        <v>126</v>
      </c>
      <c r="I196" s="92" t="s">
        <v>354</v>
      </c>
      <c r="J196" s="92" t="s">
        <v>101</v>
      </c>
      <c r="K196" s="92"/>
      <c r="L196" s="94"/>
      <c r="M196" s="99">
        <v>2861</v>
      </c>
      <c r="N196" s="97">
        <v>0.06</v>
      </c>
      <c r="O196" s="99" t="s">
        <v>711</v>
      </c>
      <c r="P196" s="99">
        <v>2861</v>
      </c>
      <c r="Q196" s="99" t="s">
        <v>711</v>
      </c>
      <c r="R196" s="92" t="s">
        <v>124</v>
      </c>
      <c r="S196" s="92" t="s">
        <v>124</v>
      </c>
      <c r="T196" s="94" t="s">
        <v>130</v>
      </c>
      <c r="U196" s="94" t="s">
        <v>107</v>
      </c>
    </row>
    <row r="197" s="86" customFormat="1" ht="16.5" spans="1:21">
      <c r="A197" s="91" t="s">
        <v>704</v>
      </c>
      <c r="B197" s="91" t="s">
        <v>705</v>
      </c>
      <c r="C197" s="92" t="s">
        <v>712</v>
      </c>
      <c r="D197" s="93" t="s">
        <v>713</v>
      </c>
      <c r="E197" s="91" t="s">
        <v>98</v>
      </c>
      <c r="F197" s="91" t="s">
        <v>695</v>
      </c>
      <c r="G197" s="94" t="s">
        <v>126</v>
      </c>
      <c r="H197" s="92" t="s">
        <v>126</v>
      </c>
      <c r="I197" s="92" t="s">
        <v>354</v>
      </c>
      <c r="J197" s="92" t="s">
        <v>101</v>
      </c>
      <c r="K197" s="92"/>
      <c r="L197" s="94"/>
      <c r="M197" s="99">
        <v>1950</v>
      </c>
      <c r="N197" s="97">
        <v>0.06</v>
      </c>
      <c r="O197" s="99" t="s">
        <v>714</v>
      </c>
      <c r="P197" s="99">
        <v>1950</v>
      </c>
      <c r="Q197" s="99" t="s">
        <v>714</v>
      </c>
      <c r="R197" s="92" t="s">
        <v>124</v>
      </c>
      <c r="S197" s="92" t="s">
        <v>124</v>
      </c>
      <c r="T197" s="94" t="s">
        <v>130</v>
      </c>
      <c r="U197" s="94" t="s">
        <v>107</v>
      </c>
    </row>
    <row r="198" s="86" customFormat="1" ht="16.5" spans="1:21">
      <c r="A198" s="91" t="s">
        <v>704</v>
      </c>
      <c r="B198" s="91" t="s">
        <v>705</v>
      </c>
      <c r="C198" s="92" t="s">
        <v>715</v>
      </c>
      <c r="D198" s="93" t="s">
        <v>716</v>
      </c>
      <c r="E198" s="91" t="s">
        <v>98</v>
      </c>
      <c r="F198" s="91" t="s">
        <v>99</v>
      </c>
      <c r="G198" s="94" t="s">
        <v>126</v>
      </c>
      <c r="H198" s="92" t="s">
        <v>126</v>
      </c>
      <c r="I198" s="92" t="s">
        <v>401</v>
      </c>
      <c r="J198" s="92" t="s">
        <v>101</v>
      </c>
      <c r="K198" s="92"/>
      <c r="L198" s="94"/>
      <c r="M198" s="99">
        <v>2408</v>
      </c>
      <c r="N198" s="97">
        <v>0.06</v>
      </c>
      <c r="O198" s="99" t="s">
        <v>360</v>
      </c>
      <c r="P198" s="99">
        <v>2408</v>
      </c>
      <c r="Q198" s="99" t="s">
        <v>360</v>
      </c>
      <c r="R198" s="92" t="s">
        <v>98</v>
      </c>
      <c r="S198" s="92" t="s">
        <v>124</v>
      </c>
      <c r="T198" s="94" t="s">
        <v>130</v>
      </c>
      <c r="U198" s="94" t="s">
        <v>107</v>
      </c>
    </row>
    <row r="199" s="86" customFormat="1" ht="16.5" spans="1:21">
      <c r="A199" s="91" t="s">
        <v>704</v>
      </c>
      <c r="B199" s="91" t="s">
        <v>705</v>
      </c>
      <c r="C199" s="92" t="s">
        <v>717</v>
      </c>
      <c r="D199" s="93" t="s">
        <v>718</v>
      </c>
      <c r="E199" s="91" t="s">
        <v>98</v>
      </c>
      <c r="F199" s="91" t="s">
        <v>99</v>
      </c>
      <c r="G199" s="94" t="s">
        <v>179</v>
      </c>
      <c r="H199" s="92" t="s">
        <v>719</v>
      </c>
      <c r="I199" s="92" t="s">
        <v>354</v>
      </c>
      <c r="J199" s="92" t="s">
        <v>101</v>
      </c>
      <c r="K199" s="92" t="s">
        <v>720</v>
      </c>
      <c r="L199" s="94" t="s">
        <v>721</v>
      </c>
      <c r="M199" s="99">
        <v>1706</v>
      </c>
      <c r="N199" s="97">
        <v>0.06</v>
      </c>
      <c r="O199" s="99" t="s">
        <v>395</v>
      </c>
      <c r="P199" s="99">
        <v>1706</v>
      </c>
      <c r="Q199" s="99" t="s">
        <v>395</v>
      </c>
      <c r="R199" s="92" t="s">
        <v>98</v>
      </c>
      <c r="S199" s="92" t="s">
        <v>98</v>
      </c>
      <c r="T199" s="94" t="s">
        <v>130</v>
      </c>
      <c r="U199" s="94" t="s">
        <v>107</v>
      </c>
    </row>
    <row r="200" s="86" customFormat="1" ht="16.5" spans="1:21">
      <c r="A200" s="91" t="s">
        <v>704</v>
      </c>
      <c r="B200" s="91" t="s">
        <v>705</v>
      </c>
      <c r="C200" s="92" t="s">
        <v>722</v>
      </c>
      <c r="D200" s="93" t="s">
        <v>723</v>
      </c>
      <c r="E200" s="91" t="s">
        <v>98</v>
      </c>
      <c r="F200" s="91" t="s">
        <v>695</v>
      </c>
      <c r="G200" s="94" t="s">
        <v>126</v>
      </c>
      <c r="H200" s="92" t="s">
        <v>126</v>
      </c>
      <c r="I200" s="92" t="s">
        <v>354</v>
      </c>
      <c r="J200" s="92" t="s">
        <v>101</v>
      </c>
      <c r="K200" s="92"/>
      <c r="L200" s="94"/>
      <c r="M200" s="99">
        <v>1678</v>
      </c>
      <c r="N200" s="97">
        <v>0.06</v>
      </c>
      <c r="O200" s="99" t="s">
        <v>402</v>
      </c>
      <c r="P200" s="99">
        <v>1678</v>
      </c>
      <c r="Q200" s="99" t="s">
        <v>402</v>
      </c>
      <c r="R200" s="92" t="s">
        <v>124</v>
      </c>
      <c r="S200" s="92" t="s">
        <v>98</v>
      </c>
      <c r="T200" s="94" t="s">
        <v>130</v>
      </c>
      <c r="U200" s="94" t="s">
        <v>107</v>
      </c>
    </row>
    <row r="201" s="86" customFormat="1" ht="16.5" spans="1:21">
      <c r="A201" s="91" t="s">
        <v>704</v>
      </c>
      <c r="B201" s="91" t="s">
        <v>705</v>
      </c>
      <c r="C201" s="92" t="s">
        <v>724</v>
      </c>
      <c r="D201" s="93" t="s">
        <v>725</v>
      </c>
      <c r="E201" s="91" t="s">
        <v>98</v>
      </c>
      <c r="F201" s="91" t="s">
        <v>695</v>
      </c>
      <c r="G201" s="94" t="s">
        <v>126</v>
      </c>
      <c r="H201" s="92" t="s">
        <v>126</v>
      </c>
      <c r="I201" s="92" t="s">
        <v>354</v>
      </c>
      <c r="J201" s="92" t="s">
        <v>101</v>
      </c>
      <c r="K201" s="92" t="s">
        <v>726</v>
      </c>
      <c r="L201" s="94" t="s">
        <v>727</v>
      </c>
      <c r="M201" s="99">
        <v>1678</v>
      </c>
      <c r="N201" s="97">
        <v>0.06</v>
      </c>
      <c r="O201" s="99" t="s">
        <v>402</v>
      </c>
      <c r="P201" s="99">
        <v>1678</v>
      </c>
      <c r="Q201" s="99" t="s">
        <v>402</v>
      </c>
      <c r="R201" s="92" t="s">
        <v>124</v>
      </c>
      <c r="S201" s="92" t="s">
        <v>98</v>
      </c>
      <c r="T201" s="94" t="s">
        <v>130</v>
      </c>
      <c r="U201" s="94" t="s">
        <v>107</v>
      </c>
    </row>
    <row r="202" s="86" customFormat="1" ht="16.5" spans="1:21">
      <c r="A202" s="91" t="s">
        <v>704</v>
      </c>
      <c r="B202" s="91" t="s">
        <v>705</v>
      </c>
      <c r="C202" s="92" t="s">
        <v>728</v>
      </c>
      <c r="D202" s="93" t="s">
        <v>729</v>
      </c>
      <c r="E202" s="91" t="s">
        <v>98</v>
      </c>
      <c r="F202" s="91" t="s">
        <v>99</v>
      </c>
      <c r="G202" s="94" t="s">
        <v>126</v>
      </c>
      <c r="H202" s="92" t="s">
        <v>126</v>
      </c>
      <c r="I202" s="92" t="s">
        <v>354</v>
      </c>
      <c r="J202" s="92" t="s">
        <v>101</v>
      </c>
      <c r="K202" s="92"/>
      <c r="L202" s="94"/>
      <c r="M202" s="99">
        <v>1950</v>
      </c>
      <c r="N202" s="97">
        <v>0.06</v>
      </c>
      <c r="O202" s="99" t="s">
        <v>714</v>
      </c>
      <c r="P202" s="99">
        <v>1950</v>
      </c>
      <c r="Q202" s="99" t="s">
        <v>714</v>
      </c>
      <c r="R202" s="92" t="s">
        <v>98</v>
      </c>
      <c r="S202" s="92" t="s">
        <v>98</v>
      </c>
      <c r="T202" s="94" t="s">
        <v>130</v>
      </c>
      <c r="U202" s="94" t="s">
        <v>107</v>
      </c>
    </row>
    <row r="203" s="86" customFormat="1" ht="16.5" spans="1:21">
      <c r="A203" s="91" t="s">
        <v>704</v>
      </c>
      <c r="B203" s="91" t="s">
        <v>705</v>
      </c>
      <c r="C203" s="92" t="s">
        <v>730</v>
      </c>
      <c r="D203" s="93" t="s">
        <v>731</v>
      </c>
      <c r="E203" s="91" t="s">
        <v>98</v>
      </c>
      <c r="F203" s="91" t="s">
        <v>695</v>
      </c>
      <c r="G203" s="94"/>
      <c r="H203" s="92"/>
      <c r="I203" s="92" t="s">
        <v>401</v>
      </c>
      <c r="J203" s="92" t="s">
        <v>101</v>
      </c>
      <c r="K203" s="92"/>
      <c r="L203" s="94"/>
      <c r="M203" s="99">
        <v>2914</v>
      </c>
      <c r="N203" s="97">
        <v>0.06</v>
      </c>
      <c r="O203" s="99" t="s">
        <v>346</v>
      </c>
      <c r="P203" s="99">
        <v>2914</v>
      </c>
      <c r="Q203" s="99" t="s">
        <v>346</v>
      </c>
      <c r="R203" s="92" t="s">
        <v>124</v>
      </c>
      <c r="S203" s="92" t="s">
        <v>98</v>
      </c>
      <c r="T203" s="94" t="s">
        <v>130</v>
      </c>
      <c r="U203" s="94" t="s">
        <v>107</v>
      </c>
    </row>
    <row r="204" s="86" customFormat="1" ht="16.5" spans="1:21">
      <c r="A204" s="91" t="s">
        <v>732</v>
      </c>
      <c r="B204" s="91" t="s">
        <v>733</v>
      </c>
      <c r="C204" s="92" t="s">
        <v>734</v>
      </c>
      <c r="D204" s="93" t="s">
        <v>735</v>
      </c>
      <c r="E204" s="91" t="s">
        <v>98</v>
      </c>
      <c r="F204" s="91" t="s">
        <v>695</v>
      </c>
      <c r="G204" s="94" t="s">
        <v>126</v>
      </c>
      <c r="H204" s="92" t="s">
        <v>126</v>
      </c>
      <c r="I204" s="92" t="s">
        <v>100</v>
      </c>
      <c r="J204" s="92" t="s">
        <v>101</v>
      </c>
      <c r="K204" s="92"/>
      <c r="L204" s="94"/>
      <c r="M204" s="99">
        <v>2340</v>
      </c>
      <c r="N204" s="97">
        <v>0.06</v>
      </c>
      <c r="O204" s="99" t="s">
        <v>736</v>
      </c>
      <c r="P204" s="99">
        <v>2340</v>
      </c>
      <c r="Q204" s="99" t="s">
        <v>737</v>
      </c>
      <c r="R204" s="92" t="s">
        <v>124</v>
      </c>
      <c r="S204" s="92" t="s">
        <v>124</v>
      </c>
      <c r="T204" s="94" t="s">
        <v>130</v>
      </c>
      <c r="U204" s="94" t="s">
        <v>107</v>
      </c>
    </row>
    <row r="205" s="86" customFormat="1" ht="16.5" spans="1:21">
      <c r="A205" s="91" t="s">
        <v>732</v>
      </c>
      <c r="B205" s="91" t="s">
        <v>733</v>
      </c>
      <c r="C205" s="92" t="s">
        <v>738</v>
      </c>
      <c r="D205" s="93" t="s">
        <v>739</v>
      </c>
      <c r="E205" s="91" t="s">
        <v>98</v>
      </c>
      <c r="F205" s="91" t="s">
        <v>99</v>
      </c>
      <c r="G205" s="94" t="s">
        <v>740</v>
      </c>
      <c r="H205" s="92" t="s">
        <v>741</v>
      </c>
      <c r="I205" s="92" t="s">
        <v>100</v>
      </c>
      <c r="J205" s="92" t="s">
        <v>101</v>
      </c>
      <c r="K205" s="92" t="s">
        <v>742</v>
      </c>
      <c r="L205" s="94" t="s">
        <v>743</v>
      </c>
      <c r="M205" s="99">
        <v>2693</v>
      </c>
      <c r="N205" s="97">
        <v>0.06</v>
      </c>
      <c r="O205" s="99" t="s">
        <v>744</v>
      </c>
      <c r="P205" s="99" t="s">
        <v>745</v>
      </c>
      <c r="Q205" s="99" t="s">
        <v>746</v>
      </c>
      <c r="R205" s="92" t="s">
        <v>98</v>
      </c>
      <c r="S205" s="92" t="s">
        <v>98</v>
      </c>
      <c r="T205" s="94" t="s">
        <v>130</v>
      </c>
      <c r="U205" s="94" t="s">
        <v>107</v>
      </c>
    </row>
    <row r="206" s="86" customFormat="1" ht="16.5" spans="1:21">
      <c r="A206" s="91" t="s">
        <v>732</v>
      </c>
      <c r="B206" s="91" t="s">
        <v>733</v>
      </c>
      <c r="C206" s="92" t="s">
        <v>747</v>
      </c>
      <c r="D206" s="93" t="s">
        <v>748</v>
      </c>
      <c r="E206" s="91" t="s">
        <v>98</v>
      </c>
      <c r="F206" s="91" t="s">
        <v>99</v>
      </c>
      <c r="G206" s="94" t="s">
        <v>208</v>
      </c>
      <c r="H206" s="92" t="s">
        <v>749</v>
      </c>
      <c r="I206" s="92" t="s">
        <v>100</v>
      </c>
      <c r="J206" s="92" t="s">
        <v>101</v>
      </c>
      <c r="K206" s="92" t="s">
        <v>750</v>
      </c>
      <c r="L206" s="94" t="s">
        <v>748</v>
      </c>
      <c r="M206" s="99">
        <v>2333</v>
      </c>
      <c r="N206" s="97">
        <v>0.06</v>
      </c>
      <c r="O206" s="99" t="s">
        <v>751</v>
      </c>
      <c r="P206" s="99">
        <v>2333</v>
      </c>
      <c r="Q206" s="99" t="s">
        <v>752</v>
      </c>
      <c r="R206" s="92" t="s">
        <v>98</v>
      </c>
      <c r="S206" s="92" t="s">
        <v>98</v>
      </c>
      <c r="T206" s="94" t="s">
        <v>130</v>
      </c>
      <c r="U206" s="94" t="s">
        <v>107</v>
      </c>
    </row>
    <row r="207" s="86" customFormat="1" ht="16.5" spans="1:21">
      <c r="A207" s="91" t="s">
        <v>732</v>
      </c>
      <c r="B207" s="91" t="s">
        <v>733</v>
      </c>
      <c r="C207" s="92" t="s">
        <v>753</v>
      </c>
      <c r="D207" s="93" t="s">
        <v>754</v>
      </c>
      <c r="E207" s="91" t="s">
        <v>98</v>
      </c>
      <c r="F207" s="91" t="s">
        <v>99</v>
      </c>
      <c r="G207" s="94" t="s">
        <v>208</v>
      </c>
      <c r="H207" s="92" t="s">
        <v>749</v>
      </c>
      <c r="I207" s="92" t="s">
        <v>100</v>
      </c>
      <c r="J207" s="92" t="s">
        <v>101</v>
      </c>
      <c r="K207" s="92" t="s">
        <v>755</v>
      </c>
      <c r="L207" s="94" t="s">
        <v>756</v>
      </c>
      <c r="M207" s="99">
        <v>2333</v>
      </c>
      <c r="N207" s="97">
        <v>0.06</v>
      </c>
      <c r="O207" s="99" t="s">
        <v>751</v>
      </c>
      <c r="P207" s="99">
        <v>2333</v>
      </c>
      <c r="Q207" s="99" t="s">
        <v>752</v>
      </c>
      <c r="R207" s="92" t="s">
        <v>98</v>
      </c>
      <c r="S207" s="92" t="s">
        <v>98</v>
      </c>
      <c r="T207" s="94" t="s">
        <v>130</v>
      </c>
      <c r="U207" s="94" t="s">
        <v>107</v>
      </c>
    </row>
    <row r="208" s="86" customFormat="1" ht="16.5" spans="1:21">
      <c r="A208" s="91" t="s">
        <v>732</v>
      </c>
      <c r="B208" s="91" t="s">
        <v>733</v>
      </c>
      <c r="C208" s="92" t="s">
        <v>757</v>
      </c>
      <c r="D208" s="93" t="s">
        <v>758</v>
      </c>
      <c r="E208" s="91" t="s">
        <v>98</v>
      </c>
      <c r="F208" s="91" t="s">
        <v>99</v>
      </c>
      <c r="G208" s="94" t="s">
        <v>208</v>
      </c>
      <c r="H208" s="92" t="s">
        <v>749</v>
      </c>
      <c r="I208" s="92" t="s">
        <v>100</v>
      </c>
      <c r="J208" s="92" t="s">
        <v>101</v>
      </c>
      <c r="K208" s="92" t="s">
        <v>755</v>
      </c>
      <c r="L208" s="94" t="s">
        <v>756</v>
      </c>
      <c r="M208" s="99">
        <v>2333</v>
      </c>
      <c r="N208" s="97">
        <v>0.06</v>
      </c>
      <c r="O208" s="99" t="s">
        <v>751</v>
      </c>
      <c r="P208" s="99">
        <v>2333</v>
      </c>
      <c r="Q208" s="99" t="s">
        <v>752</v>
      </c>
      <c r="R208" s="92" t="s">
        <v>98</v>
      </c>
      <c r="S208" s="92" t="s">
        <v>98</v>
      </c>
      <c r="T208" s="94" t="s">
        <v>130</v>
      </c>
      <c r="U208" s="94" t="s">
        <v>107</v>
      </c>
    </row>
    <row r="209" s="86" customFormat="1" ht="16.5" spans="1:21">
      <c r="A209" s="91" t="s">
        <v>732</v>
      </c>
      <c r="B209" s="91" t="s">
        <v>733</v>
      </c>
      <c r="C209" s="92" t="s">
        <v>759</v>
      </c>
      <c r="D209" s="93" t="s">
        <v>760</v>
      </c>
      <c r="E209" s="91" t="s">
        <v>98</v>
      </c>
      <c r="F209" s="91" t="s">
        <v>99</v>
      </c>
      <c r="G209" s="94" t="s">
        <v>208</v>
      </c>
      <c r="H209" s="92" t="s">
        <v>749</v>
      </c>
      <c r="I209" s="92" t="s">
        <v>100</v>
      </c>
      <c r="J209" s="92" t="s">
        <v>101</v>
      </c>
      <c r="K209" s="92" t="s">
        <v>755</v>
      </c>
      <c r="L209" s="94" t="s">
        <v>756</v>
      </c>
      <c r="M209" s="99">
        <v>2333</v>
      </c>
      <c r="N209" s="97">
        <v>0.06</v>
      </c>
      <c r="O209" s="99" t="s">
        <v>751</v>
      </c>
      <c r="P209" s="99">
        <v>2333</v>
      </c>
      <c r="Q209" s="99" t="s">
        <v>752</v>
      </c>
      <c r="R209" s="92" t="s">
        <v>98</v>
      </c>
      <c r="S209" s="92" t="s">
        <v>98</v>
      </c>
      <c r="T209" s="94" t="s">
        <v>130</v>
      </c>
      <c r="U209" s="94" t="s">
        <v>107</v>
      </c>
    </row>
    <row r="210" s="86" customFormat="1" ht="16.5" spans="1:21">
      <c r="A210" s="91" t="s">
        <v>732</v>
      </c>
      <c r="B210" s="91" t="s">
        <v>733</v>
      </c>
      <c r="C210" s="92" t="s">
        <v>761</v>
      </c>
      <c r="D210" s="93" t="s">
        <v>762</v>
      </c>
      <c r="E210" s="91" t="s">
        <v>98</v>
      </c>
      <c r="F210" s="91" t="s">
        <v>99</v>
      </c>
      <c r="G210" s="94" t="s">
        <v>763</v>
      </c>
      <c r="H210" s="92" t="s">
        <v>764</v>
      </c>
      <c r="I210" s="92" t="s">
        <v>100</v>
      </c>
      <c r="J210" s="92" t="s">
        <v>101</v>
      </c>
      <c r="K210" s="92" t="s">
        <v>765</v>
      </c>
      <c r="L210" s="94" t="s">
        <v>766</v>
      </c>
      <c r="M210" s="99">
        <v>2347</v>
      </c>
      <c r="N210" s="97">
        <v>0.06</v>
      </c>
      <c r="O210" s="99" t="s">
        <v>767</v>
      </c>
      <c r="P210" s="99">
        <v>2347</v>
      </c>
      <c r="Q210" s="99" t="s">
        <v>768</v>
      </c>
      <c r="R210" s="92" t="s">
        <v>98</v>
      </c>
      <c r="S210" s="92" t="s">
        <v>98</v>
      </c>
      <c r="T210" s="94" t="s">
        <v>130</v>
      </c>
      <c r="U210" s="94" t="s">
        <v>107</v>
      </c>
    </row>
    <row r="211" s="86" customFormat="1" ht="16.5" spans="1:21">
      <c r="A211" s="91" t="s">
        <v>732</v>
      </c>
      <c r="B211" s="91" t="s">
        <v>733</v>
      </c>
      <c r="C211" s="92" t="s">
        <v>769</v>
      </c>
      <c r="D211" s="93" t="s">
        <v>770</v>
      </c>
      <c r="E211" s="91" t="s">
        <v>98</v>
      </c>
      <c r="F211" s="91" t="s">
        <v>349</v>
      </c>
      <c r="G211" s="94" t="s">
        <v>126</v>
      </c>
      <c r="H211" s="92" t="s">
        <v>126</v>
      </c>
      <c r="I211" s="92" t="s">
        <v>100</v>
      </c>
      <c r="J211" s="92" t="s">
        <v>101</v>
      </c>
      <c r="K211" s="92" t="s">
        <v>771</v>
      </c>
      <c r="L211" s="94" t="s">
        <v>770</v>
      </c>
      <c r="M211" s="99">
        <v>2353</v>
      </c>
      <c r="N211" s="97">
        <v>0.06</v>
      </c>
      <c r="O211" s="99" t="s">
        <v>772</v>
      </c>
      <c r="P211" s="99">
        <v>2353</v>
      </c>
      <c r="Q211" s="99" t="s">
        <v>773</v>
      </c>
      <c r="R211" s="92" t="s">
        <v>124</v>
      </c>
      <c r="S211" s="92" t="s">
        <v>98</v>
      </c>
      <c r="T211" s="94" t="s">
        <v>130</v>
      </c>
      <c r="U211" s="94" t="s">
        <v>107</v>
      </c>
    </row>
    <row r="212" s="86" customFormat="1" ht="16.5" spans="1:21">
      <c r="A212" s="91" t="s">
        <v>732</v>
      </c>
      <c r="B212" s="91" t="s">
        <v>733</v>
      </c>
      <c r="C212" s="92" t="s">
        <v>774</v>
      </c>
      <c r="D212" s="93" t="s">
        <v>775</v>
      </c>
      <c r="E212" s="91" t="s">
        <v>98</v>
      </c>
      <c r="F212" s="91" t="s">
        <v>349</v>
      </c>
      <c r="G212" s="94" t="s">
        <v>126</v>
      </c>
      <c r="H212" s="92" t="s">
        <v>126</v>
      </c>
      <c r="I212" s="92" t="s">
        <v>100</v>
      </c>
      <c r="J212" s="92" t="s">
        <v>101</v>
      </c>
      <c r="K212" s="92"/>
      <c r="L212" s="94"/>
      <c r="M212" s="99">
        <v>1947</v>
      </c>
      <c r="N212" s="97">
        <v>0.06</v>
      </c>
      <c r="O212" s="99" t="s">
        <v>659</v>
      </c>
      <c r="P212" s="99" t="s">
        <v>776</v>
      </c>
      <c r="Q212" s="99" t="s">
        <v>777</v>
      </c>
      <c r="R212" s="92" t="s">
        <v>124</v>
      </c>
      <c r="S212" s="92" t="s">
        <v>98</v>
      </c>
      <c r="T212" s="94" t="s">
        <v>130</v>
      </c>
      <c r="U212" s="94" t="s">
        <v>107</v>
      </c>
    </row>
    <row r="213" s="86" customFormat="1" ht="16.5" spans="1:21">
      <c r="A213" s="91" t="s">
        <v>732</v>
      </c>
      <c r="B213" s="91" t="s">
        <v>733</v>
      </c>
      <c r="C213" s="92" t="s">
        <v>778</v>
      </c>
      <c r="D213" s="93" t="s">
        <v>779</v>
      </c>
      <c r="E213" s="91" t="s">
        <v>98</v>
      </c>
      <c r="F213" s="91" t="s">
        <v>99</v>
      </c>
      <c r="G213" s="94" t="s">
        <v>179</v>
      </c>
      <c r="H213" s="92" t="s">
        <v>780</v>
      </c>
      <c r="I213" s="92" t="s">
        <v>100</v>
      </c>
      <c r="J213" s="92" t="s">
        <v>101</v>
      </c>
      <c r="K213" s="92" t="s">
        <v>781</v>
      </c>
      <c r="L213" s="94" t="s">
        <v>782</v>
      </c>
      <c r="M213" s="99">
        <v>3231</v>
      </c>
      <c r="N213" s="97">
        <v>0.06</v>
      </c>
      <c r="O213" s="99" t="s">
        <v>783</v>
      </c>
      <c r="P213" s="99" t="s">
        <v>784</v>
      </c>
      <c r="Q213" s="99" t="s">
        <v>785</v>
      </c>
      <c r="R213" s="92" t="s">
        <v>98</v>
      </c>
      <c r="S213" s="92" t="s">
        <v>98</v>
      </c>
      <c r="T213" s="94" t="s">
        <v>130</v>
      </c>
      <c r="U213" s="94" t="s">
        <v>107</v>
      </c>
    </row>
    <row r="214" s="86" customFormat="1" ht="16.5" spans="1:21">
      <c r="A214" s="91" t="s">
        <v>732</v>
      </c>
      <c r="B214" s="91" t="s">
        <v>733</v>
      </c>
      <c r="C214" s="92" t="s">
        <v>786</v>
      </c>
      <c r="D214" s="93" t="s">
        <v>787</v>
      </c>
      <c r="E214" s="91" t="s">
        <v>98</v>
      </c>
      <c r="F214" s="91" t="s">
        <v>99</v>
      </c>
      <c r="G214" s="94" t="s">
        <v>179</v>
      </c>
      <c r="H214" s="92" t="s">
        <v>398</v>
      </c>
      <c r="I214" s="92" t="s">
        <v>100</v>
      </c>
      <c r="J214" s="92" t="s">
        <v>101</v>
      </c>
      <c r="K214" s="92"/>
      <c r="L214" s="94"/>
      <c r="M214" s="99">
        <v>1653</v>
      </c>
      <c r="N214" s="97">
        <v>0.06</v>
      </c>
      <c r="O214" s="99" t="s">
        <v>391</v>
      </c>
      <c r="P214" s="99" t="s">
        <v>788</v>
      </c>
      <c r="Q214" s="99" t="s">
        <v>789</v>
      </c>
      <c r="R214" s="92" t="s">
        <v>98</v>
      </c>
      <c r="S214" s="92" t="s">
        <v>98</v>
      </c>
      <c r="T214" s="94" t="s">
        <v>130</v>
      </c>
      <c r="U214" s="94" t="s">
        <v>107</v>
      </c>
    </row>
    <row r="215" s="86" customFormat="1" ht="16.5" spans="1:21">
      <c r="A215" s="91" t="s">
        <v>732</v>
      </c>
      <c r="B215" s="91" t="s">
        <v>733</v>
      </c>
      <c r="C215" s="92" t="s">
        <v>790</v>
      </c>
      <c r="D215" s="93" t="s">
        <v>791</v>
      </c>
      <c r="E215" s="91" t="s">
        <v>98</v>
      </c>
      <c r="F215" s="91" t="s">
        <v>695</v>
      </c>
      <c r="G215" s="94" t="s">
        <v>179</v>
      </c>
      <c r="H215" s="92" t="s">
        <v>394</v>
      </c>
      <c r="I215" s="92" t="s">
        <v>354</v>
      </c>
      <c r="J215" s="92" t="s">
        <v>101</v>
      </c>
      <c r="K215" s="92" t="s">
        <v>720</v>
      </c>
      <c r="L215" s="94" t="s">
        <v>721</v>
      </c>
      <c r="M215" s="99">
        <v>1911</v>
      </c>
      <c r="N215" s="97">
        <v>0.06</v>
      </c>
      <c r="O215" s="99" t="s">
        <v>792</v>
      </c>
      <c r="P215" s="99">
        <v>1911</v>
      </c>
      <c r="Q215" s="99" t="s">
        <v>792</v>
      </c>
      <c r="R215" s="92" t="s">
        <v>124</v>
      </c>
      <c r="S215" s="92" t="s">
        <v>98</v>
      </c>
      <c r="T215" s="94" t="s">
        <v>130</v>
      </c>
      <c r="U215" s="94" t="s">
        <v>107</v>
      </c>
    </row>
    <row r="216" s="86" customFormat="1" ht="16.5" spans="1:21">
      <c r="A216" s="91" t="s">
        <v>732</v>
      </c>
      <c r="B216" s="91" t="s">
        <v>733</v>
      </c>
      <c r="C216" s="92" t="s">
        <v>793</v>
      </c>
      <c r="D216" s="93" t="s">
        <v>794</v>
      </c>
      <c r="E216" s="91" t="s">
        <v>98</v>
      </c>
      <c r="F216" s="91" t="s">
        <v>99</v>
      </c>
      <c r="G216" s="94"/>
      <c r="H216" s="92"/>
      <c r="I216" s="92" t="s">
        <v>100</v>
      </c>
      <c r="J216" s="92" t="s">
        <v>101</v>
      </c>
      <c r="K216" s="92"/>
      <c r="L216" s="94"/>
      <c r="M216" s="99">
        <v>2345</v>
      </c>
      <c r="N216" s="97">
        <v>0.06</v>
      </c>
      <c r="O216" s="99" t="s">
        <v>795</v>
      </c>
      <c r="P216" s="99">
        <v>2345</v>
      </c>
      <c r="Q216" s="99" t="s">
        <v>796</v>
      </c>
      <c r="R216" s="92" t="s">
        <v>98</v>
      </c>
      <c r="S216" s="92" t="s">
        <v>98</v>
      </c>
      <c r="T216" s="94" t="s">
        <v>130</v>
      </c>
      <c r="U216" s="94" t="s">
        <v>107</v>
      </c>
    </row>
    <row r="217" s="86" customFormat="1" ht="16.5" spans="1:21">
      <c r="A217" s="91" t="s">
        <v>732</v>
      </c>
      <c r="B217" s="91" t="s">
        <v>733</v>
      </c>
      <c r="C217" s="92" t="s">
        <v>797</v>
      </c>
      <c r="D217" s="93" t="s">
        <v>798</v>
      </c>
      <c r="E217" s="91" t="s">
        <v>98</v>
      </c>
      <c r="F217" s="91" t="s">
        <v>99</v>
      </c>
      <c r="G217" s="94"/>
      <c r="H217" s="92"/>
      <c r="I217" s="92" t="s">
        <v>100</v>
      </c>
      <c r="J217" s="92" t="s">
        <v>101</v>
      </c>
      <c r="K217" s="92"/>
      <c r="L217" s="94"/>
      <c r="M217" s="99">
        <v>1938</v>
      </c>
      <c r="N217" s="97">
        <v>0.06</v>
      </c>
      <c r="O217" s="99" t="s">
        <v>799</v>
      </c>
      <c r="P217" s="99">
        <v>1938</v>
      </c>
      <c r="Q217" s="99" t="s">
        <v>799</v>
      </c>
      <c r="R217" s="92" t="s">
        <v>98</v>
      </c>
      <c r="S217" s="92" t="s">
        <v>98</v>
      </c>
      <c r="T217" s="94" t="s">
        <v>130</v>
      </c>
      <c r="U217" s="94" t="s">
        <v>107</v>
      </c>
    </row>
    <row r="218" s="86" customFormat="1" ht="16.5" spans="1:21">
      <c r="A218" s="91" t="s">
        <v>732</v>
      </c>
      <c r="B218" s="91" t="s">
        <v>733</v>
      </c>
      <c r="C218" s="92" t="s">
        <v>800</v>
      </c>
      <c r="D218" s="93" t="s">
        <v>801</v>
      </c>
      <c r="E218" s="91" t="s">
        <v>98</v>
      </c>
      <c r="F218" s="91" t="s">
        <v>99</v>
      </c>
      <c r="G218" s="94"/>
      <c r="H218" s="92"/>
      <c r="I218" s="92" t="s">
        <v>100</v>
      </c>
      <c r="J218" s="92" t="s">
        <v>101</v>
      </c>
      <c r="K218" s="92"/>
      <c r="L218" s="94"/>
      <c r="M218" s="99">
        <v>1939</v>
      </c>
      <c r="N218" s="97">
        <v>0.06</v>
      </c>
      <c r="O218" s="99" t="s">
        <v>802</v>
      </c>
      <c r="P218" s="99">
        <v>1939</v>
      </c>
      <c r="Q218" s="99" t="s">
        <v>802</v>
      </c>
      <c r="R218" s="92" t="s">
        <v>98</v>
      </c>
      <c r="S218" s="92" t="s">
        <v>98</v>
      </c>
      <c r="T218" s="94" t="s">
        <v>130</v>
      </c>
      <c r="U218" s="94" t="s">
        <v>107</v>
      </c>
    </row>
    <row r="219" s="86" customFormat="1" ht="16.5" spans="1:21">
      <c r="A219" s="91" t="s">
        <v>732</v>
      </c>
      <c r="B219" s="91" t="s">
        <v>733</v>
      </c>
      <c r="C219" s="92" t="s">
        <v>803</v>
      </c>
      <c r="D219" s="93" t="s">
        <v>804</v>
      </c>
      <c r="E219" s="91" t="s">
        <v>98</v>
      </c>
      <c r="F219" s="91" t="s">
        <v>99</v>
      </c>
      <c r="G219" s="94"/>
      <c r="H219" s="92"/>
      <c r="I219" s="92" t="s">
        <v>401</v>
      </c>
      <c r="J219" s="92" t="s">
        <v>101</v>
      </c>
      <c r="K219" s="92"/>
      <c r="L219" s="94"/>
      <c r="M219" s="99">
        <v>2352</v>
      </c>
      <c r="N219" s="97">
        <v>0.06</v>
      </c>
      <c r="O219" s="99" t="s">
        <v>805</v>
      </c>
      <c r="P219" s="99">
        <v>2352</v>
      </c>
      <c r="Q219" s="99" t="s">
        <v>806</v>
      </c>
      <c r="R219" s="92" t="s">
        <v>98</v>
      </c>
      <c r="S219" s="92" t="s">
        <v>98</v>
      </c>
      <c r="T219" s="94" t="s">
        <v>130</v>
      </c>
      <c r="U219" s="94" t="s">
        <v>107</v>
      </c>
    </row>
    <row r="220" s="86" customFormat="1" ht="16.5" spans="1:21">
      <c r="A220" s="91" t="s">
        <v>732</v>
      </c>
      <c r="B220" s="91" t="s">
        <v>733</v>
      </c>
      <c r="C220" s="92" t="s">
        <v>807</v>
      </c>
      <c r="D220" s="93" t="s">
        <v>808</v>
      </c>
      <c r="E220" s="91" t="s">
        <v>98</v>
      </c>
      <c r="F220" s="91" t="s">
        <v>99</v>
      </c>
      <c r="G220" s="94"/>
      <c r="H220" s="92"/>
      <c r="I220" s="92" t="s">
        <v>401</v>
      </c>
      <c r="J220" s="92" t="s">
        <v>101</v>
      </c>
      <c r="K220" s="92"/>
      <c r="L220" s="94"/>
      <c r="M220" s="99">
        <v>2347</v>
      </c>
      <c r="N220" s="97">
        <v>0.06</v>
      </c>
      <c r="O220" s="99" t="s">
        <v>767</v>
      </c>
      <c r="P220" s="99">
        <v>2347</v>
      </c>
      <c r="Q220" s="99" t="s">
        <v>768</v>
      </c>
      <c r="R220" s="92" t="s">
        <v>98</v>
      </c>
      <c r="S220" s="92" t="s">
        <v>98</v>
      </c>
      <c r="T220" s="94" t="s">
        <v>130</v>
      </c>
      <c r="U220" s="94" t="s">
        <v>107</v>
      </c>
    </row>
    <row r="221" s="86" customFormat="1" ht="16.5" spans="1:21">
      <c r="A221" s="91" t="s">
        <v>732</v>
      </c>
      <c r="B221" s="91" t="s">
        <v>733</v>
      </c>
      <c r="C221" s="92" t="s">
        <v>809</v>
      </c>
      <c r="D221" s="93" t="s">
        <v>810</v>
      </c>
      <c r="E221" s="91" t="s">
        <v>98</v>
      </c>
      <c r="F221" s="91" t="s">
        <v>99</v>
      </c>
      <c r="G221" s="94" t="s">
        <v>126</v>
      </c>
      <c r="H221" s="92" t="s">
        <v>126</v>
      </c>
      <c r="I221" s="92" t="s">
        <v>100</v>
      </c>
      <c r="J221" s="92" t="s">
        <v>101</v>
      </c>
      <c r="K221" s="92"/>
      <c r="L221" s="94"/>
      <c r="M221" s="99">
        <v>2340</v>
      </c>
      <c r="N221" s="97">
        <v>0.06</v>
      </c>
      <c r="O221" s="99" t="s">
        <v>736</v>
      </c>
      <c r="P221" s="99">
        <v>2340</v>
      </c>
      <c r="Q221" s="99" t="s">
        <v>737</v>
      </c>
      <c r="R221" s="92" t="s">
        <v>98</v>
      </c>
      <c r="S221" s="92" t="s">
        <v>98</v>
      </c>
      <c r="T221" s="94" t="s">
        <v>130</v>
      </c>
      <c r="U221" s="94" t="s">
        <v>107</v>
      </c>
    </row>
    <row r="222" s="86" customFormat="1" ht="16.5" spans="1:21">
      <c r="A222" s="91" t="s">
        <v>732</v>
      </c>
      <c r="B222" s="91" t="s">
        <v>733</v>
      </c>
      <c r="C222" s="92" t="s">
        <v>811</v>
      </c>
      <c r="D222" s="93" t="s">
        <v>812</v>
      </c>
      <c r="E222" s="91" t="s">
        <v>98</v>
      </c>
      <c r="F222" s="91" t="s">
        <v>99</v>
      </c>
      <c r="G222" s="94"/>
      <c r="H222" s="92"/>
      <c r="I222" s="92" t="s">
        <v>100</v>
      </c>
      <c r="J222" s="92" t="s">
        <v>101</v>
      </c>
      <c r="K222" s="92"/>
      <c r="L222" s="94"/>
      <c r="M222" s="99">
        <v>1797</v>
      </c>
      <c r="N222" s="97">
        <v>0.06</v>
      </c>
      <c r="O222" s="99" t="s">
        <v>813</v>
      </c>
      <c r="P222" s="99">
        <v>1797</v>
      </c>
      <c r="Q222" s="99" t="s">
        <v>814</v>
      </c>
      <c r="R222" s="92" t="s">
        <v>98</v>
      </c>
      <c r="S222" s="92" t="s">
        <v>98</v>
      </c>
      <c r="T222" s="94" t="s">
        <v>130</v>
      </c>
      <c r="U222" s="94" t="s">
        <v>107</v>
      </c>
    </row>
    <row r="223" s="86" customFormat="1" ht="16.5" spans="1:21">
      <c r="A223" s="91" t="s">
        <v>732</v>
      </c>
      <c r="B223" s="91" t="s">
        <v>733</v>
      </c>
      <c r="C223" s="92" t="s">
        <v>815</v>
      </c>
      <c r="D223" s="93" t="s">
        <v>816</v>
      </c>
      <c r="E223" s="91" t="s">
        <v>98</v>
      </c>
      <c r="F223" s="91" t="s">
        <v>99</v>
      </c>
      <c r="G223" s="94"/>
      <c r="H223" s="92"/>
      <c r="I223" s="92" t="s">
        <v>100</v>
      </c>
      <c r="J223" s="92" t="s">
        <v>101</v>
      </c>
      <c r="K223" s="92"/>
      <c r="L223" s="94"/>
      <c r="M223" s="99">
        <v>1797</v>
      </c>
      <c r="N223" s="97">
        <v>0.06</v>
      </c>
      <c r="O223" s="99" t="s">
        <v>813</v>
      </c>
      <c r="P223" s="99">
        <v>1797</v>
      </c>
      <c r="Q223" s="99" t="s">
        <v>814</v>
      </c>
      <c r="R223" s="92" t="s">
        <v>98</v>
      </c>
      <c r="S223" s="92" t="s">
        <v>98</v>
      </c>
      <c r="T223" s="94" t="s">
        <v>130</v>
      </c>
      <c r="U223" s="94" t="s">
        <v>107</v>
      </c>
    </row>
    <row r="224" s="86" customFormat="1" ht="16.5" spans="1:21">
      <c r="A224" s="91" t="s">
        <v>732</v>
      </c>
      <c r="B224" s="91" t="s">
        <v>733</v>
      </c>
      <c r="C224" s="92" t="s">
        <v>817</v>
      </c>
      <c r="D224" s="93" t="s">
        <v>818</v>
      </c>
      <c r="E224" s="91" t="s">
        <v>98</v>
      </c>
      <c r="F224" s="91" t="s">
        <v>99</v>
      </c>
      <c r="G224" s="94"/>
      <c r="H224" s="92"/>
      <c r="I224" s="92" t="s">
        <v>100</v>
      </c>
      <c r="J224" s="92" t="s">
        <v>101</v>
      </c>
      <c r="K224" s="92"/>
      <c r="L224" s="94"/>
      <c r="M224" s="99">
        <v>1797</v>
      </c>
      <c r="N224" s="97">
        <v>0.06</v>
      </c>
      <c r="O224" s="99" t="s">
        <v>813</v>
      </c>
      <c r="P224" s="99">
        <v>1797</v>
      </c>
      <c r="Q224" s="99" t="s">
        <v>814</v>
      </c>
      <c r="R224" s="92" t="s">
        <v>98</v>
      </c>
      <c r="S224" s="92" t="s">
        <v>98</v>
      </c>
      <c r="T224" s="94" t="s">
        <v>130</v>
      </c>
      <c r="U224" s="94" t="s">
        <v>107</v>
      </c>
    </row>
    <row r="225" s="86" customFormat="1" ht="16.5" spans="1:21">
      <c r="A225" s="91" t="s">
        <v>732</v>
      </c>
      <c r="B225" s="91" t="s">
        <v>733</v>
      </c>
      <c r="C225" s="92" t="s">
        <v>819</v>
      </c>
      <c r="D225" s="93" t="s">
        <v>820</v>
      </c>
      <c r="E225" s="91" t="s">
        <v>98</v>
      </c>
      <c r="F225" s="91" t="s">
        <v>99</v>
      </c>
      <c r="G225" s="94"/>
      <c r="H225" s="92"/>
      <c r="I225" s="92" t="s">
        <v>100</v>
      </c>
      <c r="J225" s="92" t="s">
        <v>101</v>
      </c>
      <c r="K225" s="92"/>
      <c r="L225" s="94"/>
      <c r="M225" s="99">
        <v>1797</v>
      </c>
      <c r="N225" s="97">
        <v>0.06</v>
      </c>
      <c r="O225" s="99" t="s">
        <v>813</v>
      </c>
      <c r="P225" s="99">
        <v>1797</v>
      </c>
      <c r="Q225" s="99" t="s">
        <v>814</v>
      </c>
      <c r="R225" s="92" t="s">
        <v>98</v>
      </c>
      <c r="S225" s="92" t="s">
        <v>98</v>
      </c>
      <c r="T225" s="94" t="s">
        <v>130</v>
      </c>
      <c r="U225" s="94" t="s">
        <v>107</v>
      </c>
    </row>
    <row r="226" s="86" customFormat="1" ht="16.5" spans="1:21">
      <c r="A226" s="91" t="s">
        <v>732</v>
      </c>
      <c r="B226" s="91" t="s">
        <v>733</v>
      </c>
      <c r="C226" s="92" t="s">
        <v>821</v>
      </c>
      <c r="D226" s="93" t="s">
        <v>822</v>
      </c>
      <c r="E226" s="91" t="s">
        <v>98</v>
      </c>
      <c r="F226" s="91" t="s">
        <v>99</v>
      </c>
      <c r="G226" s="94"/>
      <c r="H226" s="92"/>
      <c r="I226" s="92" t="s">
        <v>100</v>
      </c>
      <c r="J226" s="92" t="s">
        <v>101</v>
      </c>
      <c r="K226" s="92"/>
      <c r="L226" s="94"/>
      <c r="M226" s="99">
        <v>1797</v>
      </c>
      <c r="N226" s="97">
        <v>0.06</v>
      </c>
      <c r="O226" s="99" t="s">
        <v>813</v>
      </c>
      <c r="P226" s="99">
        <v>1797</v>
      </c>
      <c r="Q226" s="99" t="s">
        <v>814</v>
      </c>
      <c r="R226" s="92" t="s">
        <v>98</v>
      </c>
      <c r="S226" s="92" t="s">
        <v>98</v>
      </c>
      <c r="T226" s="94" t="s">
        <v>130</v>
      </c>
      <c r="U226" s="94" t="s">
        <v>107</v>
      </c>
    </row>
    <row r="227" s="86" customFormat="1" ht="16.5" spans="1:21">
      <c r="A227" s="91" t="s">
        <v>732</v>
      </c>
      <c r="B227" s="91" t="s">
        <v>733</v>
      </c>
      <c r="C227" s="92" t="s">
        <v>823</v>
      </c>
      <c r="D227" s="93" t="s">
        <v>824</v>
      </c>
      <c r="E227" s="91" t="s">
        <v>98</v>
      </c>
      <c r="F227" s="91" t="s">
        <v>99</v>
      </c>
      <c r="G227" s="94"/>
      <c r="H227" s="92"/>
      <c r="I227" s="92" t="s">
        <v>825</v>
      </c>
      <c r="J227" s="92"/>
      <c r="K227" s="92"/>
      <c r="L227" s="94"/>
      <c r="M227" s="99">
        <v>1799</v>
      </c>
      <c r="N227" s="97">
        <v>0.09</v>
      </c>
      <c r="O227" s="100" t="s">
        <v>826</v>
      </c>
      <c r="P227" s="99">
        <v>1799</v>
      </c>
      <c r="Q227" s="99" t="s">
        <v>826</v>
      </c>
      <c r="R227" s="92" t="s">
        <v>98</v>
      </c>
      <c r="S227" s="92" t="s">
        <v>98</v>
      </c>
      <c r="T227" s="94" t="s">
        <v>130</v>
      </c>
      <c r="U227" s="94" t="s">
        <v>107</v>
      </c>
    </row>
    <row r="228" s="86" customFormat="1" ht="16.5" spans="1:21">
      <c r="A228" s="91" t="s">
        <v>732</v>
      </c>
      <c r="B228" s="91" t="s">
        <v>733</v>
      </c>
      <c r="C228" s="92" t="s">
        <v>827</v>
      </c>
      <c r="D228" s="93" t="s">
        <v>828</v>
      </c>
      <c r="E228" s="91" t="s">
        <v>98</v>
      </c>
      <c r="F228" s="91" t="s">
        <v>99</v>
      </c>
      <c r="G228" s="94"/>
      <c r="H228" s="92"/>
      <c r="I228" s="92" t="s">
        <v>825</v>
      </c>
      <c r="J228" s="92"/>
      <c r="K228" s="92"/>
      <c r="L228" s="94"/>
      <c r="M228" s="99">
        <v>1799</v>
      </c>
      <c r="N228" s="97">
        <v>0.09</v>
      </c>
      <c r="O228" s="100" t="s">
        <v>826</v>
      </c>
      <c r="P228" s="99">
        <v>1799</v>
      </c>
      <c r="Q228" s="99" t="s">
        <v>826</v>
      </c>
      <c r="R228" s="92" t="s">
        <v>98</v>
      </c>
      <c r="S228" s="92" t="s">
        <v>98</v>
      </c>
      <c r="T228" s="94" t="s">
        <v>130</v>
      </c>
      <c r="U228" s="94" t="s">
        <v>107</v>
      </c>
    </row>
    <row r="229" s="86" customFormat="1" ht="16.5" spans="1:21">
      <c r="A229" s="91" t="s">
        <v>732</v>
      </c>
      <c r="B229" s="91" t="s">
        <v>733</v>
      </c>
      <c r="C229" s="92" t="s">
        <v>829</v>
      </c>
      <c r="D229" s="93" t="s">
        <v>830</v>
      </c>
      <c r="E229" s="91" t="s">
        <v>98</v>
      </c>
      <c r="F229" s="91" t="s">
        <v>99</v>
      </c>
      <c r="G229" s="94"/>
      <c r="H229" s="92"/>
      <c r="I229" s="92" t="s">
        <v>825</v>
      </c>
      <c r="J229" s="92"/>
      <c r="K229" s="92"/>
      <c r="L229" s="94"/>
      <c r="M229" s="99">
        <v>1799</v>
      </c>
      <c r="N229" s="97">
        <v>0.09</v>
      </c>
      <c r="O229" s="100" t="s">
        <v>826</v>
      </c>
      <c r="P229" s="99">
        <v>1799</v>
      </c>
      <c r="Q229" s="99" t="s">
        <v>826</v>
      </c>
      <c r="R229" s="92" t="s">
        <v>98</v>
      </c>
      <c r="S229" s="92" t="s">
        <v>98</v>
      </c>
      <c r="T229" s="94" t="s">
        <v>130</v>
      </c>
      <c r="U229" s="94" t="s">
        <v>107</v>
      </c>
    </row>
    <row r="230" s="86" customFormat="1" ht="16.5" spans="1:21">
      <c r="A230" s="91" t="s">
        <v>732</v>
      </c>
      <c r="B230" s="91" t="s">
        <v>733</v>
      </c>
      <c r="C230" s="92" t="s">
        <v>831</v>
      </c>
      <c r="D230" s="93" t="s">
        <v>832</v>
      </c>
      <c r="E230" s="91" t="s">
        <v>98</v>
      </c>
      <c r="F230" s="91" t="s">
        <v>349</v>
      </c>
      <c r="G230" s="94"/>
      <c r="H230" s="92"/>
      <c r="I230" s="92" t="s">
        <v>825</v>
      </c>
      <c r="J230" s="92"/>
      <c r="K230" s="92"/>
      <c r="L230" s="94"/>
      <c r="M230" s="102">
        <v>2694</v>
      </c>
      <c r="N230" s="97">
        <v>0.06</v>
      </c>
      <c r="O230" s="102" t="s">
        <v>833</v>
      </c>
      <c r="P230" s="102" t="s">
        <v>834</v>
      </c>
      <c r="Q230" s="102" t="s">
        <v>835</v>
      </c>
      <c r="R230" s="92" t="s">
        <v>124</v>
      </c>
      <c r="S230" s="92" t="s">
        <v>98</v>
      </c>
      <c r="T230" s="94" t="s">
        <v>130</v>
      </c>
      <c r="U230" s="94" t="s">
        <v>107</v>
      </c>
    </row>
    <row r="231" s="86" customFormat="1" ht="16.5" spans="1:21">
      <c r="A231" s="91" t="s">
        <v>732</v>
      </c>
      <c r="B231" s="91" t="s">
        <v>733</v>
      </c>
      <c r="C231" s="92" t="s">
        <v>836</v>
      </c>
      <c r="D231" s="93" t="s">
        <v>837</v>
      </c>
      <c r="E231" s="91" t="s">
        <v>98</v>
      </c>
      <c r="F231" s="91" t="s">
        <v>349</v>
      </c>
      <c r="G231" s="94" t="s">
        <v>179</v>
      </c>
      <c r="H231" s="92" t="s">
        <v>838</v>
      </c>
      <c r="I231" s="92" t="s">
        <v>172</v>
      </c>
      <c r="J231" s="92" t="s">
        <v>101</v>
      </c>
      <c r="K231" s="92"/>
      <c r="L231" s="94"/>
      <c r="M231" s="99">
        <v>3149</v>
      </c>
      <c r="N231" s="97">
        <v>0.06</v>
      </c>
      <c r="O231" s="99" t="s">
        <v>546</v>
      </c>
      <c r="P231" s="99">
        <v>3149</v>
      </c>
      <c r="Q231" s="99" t="s">
        <v>546</v>
      </c>
      <c r="R231" s="92" t="s">
        <v>124</v>
      </c>
      <c r="S231" s="92" t="s">
        <v>98</v>
      </c>
      <c r="T231" s="94" t="s">
        <v>130</v>
      </c>
      <c r="U231" s="94" t="s">
        <v>107</v>
      </c>
    </row>
    <row r="232" s="86" customFormat="1" ht="16.5" spans="1:21">
      <c r="A232" s="91" t="s">
        <v>732</v>
      </c>
      <c r="B232" s="91" t="s">
        <v>733</v>
      </c>
      <c r="C232" s="92" t="s">
        <v>839</v>
      </c>
      <c r="D232" s="93" t="s">
        <v>840</v>
      </c>
      <c r="E232" s="91" t="s">
        <v>98</v>
      </c>
      <c r="F232" s="91" t="s">
        <v>99</v>
      </c>
      <c r="G232" s="94" t="s">
        <v>208</v>
      </c>
      <c r="H232" s="92" t="s">
        <v>764</v>
      </c>
      <c r="I232" s="92" t="s">
        <v>172</v>
      </c>
      <c r="J232" s="92" t="s">
        <v>101</v>
      </c>
      <c r="K232" s="92"/>
      <c r="L232" s="94"/>
      <c r="M232" s="99">
        <v>3149</v>
      </c>
      <c r="N232" s="97">
        <v>0.06</v>
      </c>
      <c r="O232" s="99" t="s">
        <v>546</v>
      </c>
      <c r="P232" s="99">
        <v>3149</v>
      </c>
      <c r="Q232" s="99" t="s">
        <v>546</v>
      </c>
      <c r="R232" s="92" t="s">
        <v>98</v>
      </c>
      <c r="S232" s="92" t="s">
        <v>98</v>
      </c>
      <c r="T232" s="94" t="s">
        <v>130</v>
      </c>
      <c r="U232" s="94" t="s">
        <v>107</v>
      </c>
    </row>
    <row r="233" s="86" customFormat="1" ht="16.5" spans="1:21">
      <c r="A233" s="91" t="s">
        <v>732</v>
      </c>
      <c r="B233" s="91" t="s">
        <v>733</v>
      </c>
      <c r="C233" s="92" t="s">
        <v>841</v>
      </c>
      <c r="D233" s="93" t="s">
        <v>842</v>
      </c>
      <c r="E233" s="91" t="s">
        <v>98</v>
      </c>
      <c r="F233" s="91" t="s">
        <v>99</v>
      </c>
      <c r="G233" s="94" t="s">
        <v>179</v>
      </c>
      <c r="H233" s="92" t="s">
        <v>764</v>
      </c>
      <c r="I233" s="92" t="s">
        <v>172</v>
      </c>
      <c r="J233" s="92" t="s">
        <v>101</v>
      </c>
      <c r="K233" s="92"/>
      <c r="L233" s="94"/>
      <c r="M233" s="99">
        <v>3149</v>
      </c>
      <c r="N233" s="97">
        <v>0.06</v>
      </c>
      <c r="O233" s="99" t="s">
        <v>546</v>
      </c>
      <c r="P233" s="99">
        <v>3149</v>
      </c>
      <c r="Q233" s="99" t="s">
        <v>546</v>
      </c>
      <c r="R233" s="92" t="s">
        <v>98</v>
      </c>
      <c r="S233" s="92" t="s">
        <v>98</v>
      </c>
      <c r="T233" s="94" t="s">
        <v>130</v>
      </c>
      <c r="U233" s="94" t="s">
        <v>107</v>
      </c>
    </row>
    <row r="234" s="86" customFormat="1" ht="16.5" spans="1:21">
      <c r="A234" s="91" t="s">
        <v>732</v>
      </c>
      <c r="B234" s="91" t="s">
        <v>733</v>
      </c>
      <c r="C234" s="92" t="s">
        <v>843</v>
      </c>
      <c r="D234" s="93" t="s">
        <v>844</v>
      </c>
      <c r="E234" s="91" t="s">
        <v>98</v>
      </c>
      <c r="F234" s="91" t="s">
        <v>99</v>
      </c>
      <c r="G234" s="94" t="s">
        <v>179</v>
      </c>
      <c r="H234" s="92" t="s">
        <v>764</v>
      </c>
      <c r="I234" s="92" t="s">
        <v>172</v>
      </c>
      <c r="J234" s="92" t="s">
        <v>101</v>
      </c>
      <c r="K234" s="92"/>
      <c r="L234" s="94"/>
      <c r="M234" s="99">
        <v>3149</v>
      </c>
      <c r="N234" s="97">
        <v>0.06</v>
      </c>
      <c r="O234" s="99" t="s">
        <v>546</v>
      </c>
      <c r="P234" s="99">
        <v>3149</v>
      </c>
      <c r="Q234" s="99" t="s">
        <v>546</v>
      </c>
      <c r="R234" s="92" t="s">
        <v>98</v>
      </c>
      <c r="S234" s="92" t="s">
        <v>98</v>
      </c>
      <c r="T234" s="94" t="s">
        <v>130</v>
      </c>
      <c r="U234" s="94" t="s">
        <v>107</v>
      </c>
    </row>
    <row r="235" s="86" customFormat="1" ht="16.5" spans="1:21">
      <c r="A235" s="91" t="s">
        <v>732</v>
      </c>
      <c r="B235" s="91" t="s">
        <v>733</v>
      </c>
      <c r="C235" s="92" t="s">
        <v>845</v>
      </c>
      <c r="D235" s="93" t="s">
        <v>846</v>
      </c>
      <c r="E235" s="91" t="s">
        <v>98</v>
      </c>
      <c r="F235" s="91" t="s">
        <v>695</v>
      </c>
      <c r="G235" s="94" t="s">
        <v>126</v>
      </c>
      <c r="H235" s="92" t="s">
        <v>126</v>
      </c>
      <c r="I235" s="92" t="s">
        <v>100</v>
      </c>
      <c r="J235" s="92" t="s">
        <v>101</v>
      </c>
      <c r="K235" s="92"/>
      <c r="L235" s="94"/>
      <c r="M235" s="99">
        <v>3149</v>
      </c>
      <c r="N235" s="97">
        <v>0.06</v>
      </c>
      <c r="O235" s="99" t="s">
        <v>546</v>
      </c>
      <c r="P235" s="99">
        <v>3149</v>
      </c>
      <c r="Q235" s="99" t="s">
        <v>546</v>
      </c>
      <c r="R235" s="92" t="s">
        <v>124</v>
      </c>
      <c r="S235" s="92" t="s">
        <v>98</v>
      </c>
      <c r="T235" s="94" t="s">
        <v>130</v>
      </c>
      <c r="U235" s="94" t="s">
        <v>107</v>
      </c>
    </row>
    <row r="236" s="86" customFormat="1" ht="16.5" spans="1:21">
      <c r="A236" s="91" t="s">
        <v>732</v>
      </c>
      <c r="B236" s="91" t="s">
        <v>733</v>
      </c>
      <c r="C236" s="92" t="s">
        <v>847</v>
      </c>
      <c r="D236" s="93" t="s">
        <v>848</v>
      </c>
      <c r="E236" s="91" t="s">
        <v>98</v>
      </c>
      <c r="F236" s="91" t="s">
        <v>99</v>
      </c>
      <c r="G236" s="94" t="s">
        <v>145</v>
      </c>
      <c r="H236" s="92" t="s">
        <v>146</v>
      </c>
      <c r="I236" s="92" t="s">
        <v>100</v>
      </c>
      <c r="J236" s="92" t="s">
        <v>101</v>
      </c>
      <c r="K236" s="92"/>
      <c r="L236" s="94" t="s">
        <v>102</v>
      </c>
      <c r="M236" s="99">
        <v>1798</v>
      </c>
      <c r="N236" s="97">
        <v>0.06</v>
      </c>
      <c r="O236" s="99" t="s">
        <v>849</v>
      </c>
      <c r="P236" s="99">
        <v>1798</v>
      </c>
      <c r="Q236" s="99" t="s">
        <v>850</v>
      </c>
      <c r="R236" s="92" t="s">
        <v>98</v>
      </c>
      <c r="S236" s="92" t="s">
        <v>98</v>
      </c>
      <c r="T236" s="94" t="s">
        <v>106</v>
      </c>
      <c r="U236" s="94" t="s">
        <v>107</v>
      </c>
    </row>
    <row r="237" s="86" customFormat="1" ht="16.5" spans="1:21">
      <c r="A237" s="91" t="s">
        <v>732</v>
      </c>
      <c r="B237" s="91" t="s">
        <v>733</v>
      </c>
      <c r="C237" s="92" t="s">
        <v>851</v>
      </c>
      <c r="D237" s="93" t="s">
        <v>852</v>
      </c>
      <c r="E237" s="91" t="s">
        <v>98</v>
      </c>
      <c r="F237" s="91" t="s">
        <v>99</v>
      </c>
      <c r="G237" s="94" t="s">
        <v>145</v>
      </c>
      <c r="H237" s="92" t="s">
        <v>146</v>
      </c>
      <c r="I237" s="92" t="s">
        <v>100</v>
      </c>
      <c r="J237" s="92" t="s">
        <v>101</v>
      </c>
      <c r="K237" s="92"/>
      <c r="L237" s="94" t="s">
        <v>102</v>
      </c>
      <c r="M237" s="99">
        <v>1798</v>
      </c>
      <c r="N237" s="97">
        <v>0.06</v>
      </c>
      <c r="O237" s="99" t="s">
        <v>849</v>
      </c>
      <c r="P237" s="99">
        <v>1798</v>
      </c>
      <c r="Q237" s="99" t="s">
        <v>850</v>
      </c>
      <c r="R237" s="92" t="s">
        <v>98</v>
      </c>
      <c r="S237" s="92" t="s">
        <v>98</v>
      </c>
      <c r="T237" s="94" t="s">
        <v>106</v>
      </c>
      <c r="U237" s="94" t="s">
        <v>107</v>
      </c>
    </row>
    <row r="238" s="86" customFormat="1" ht="16.5" spans="1:21">
      <c r="A238" s="91" t="s">
        <v>732</v>
      </c>
      <c r="B238" s="91" t="s">
        <v>733</v>
      </c>
      <c r="C238" s="92" t="s">
        <v>853</v>
      </c>
      <c r="D238" s="93" t="s">
        <v>854</v>
      </c>
      <c r="E238" s="91" t="s">
        <v>98</v>
      </c>
      <c r="F238" s="91" t="s">
        <v>99</v>
      </c>
      <c r="G238" s="94"/>
      <c r="H238" s="92"/>
      <c r="I238" s="92" t="s">
        <v>100</v>
      </c>
      <c r="J238" s="92" t="s">
        <v>101</v>
      </c>
      <c r="K238" s="92"/>
      <c r="L238" s="94"/>
      <c r="M238" s="99">
        <v>1940</v>
      </c>
      <c r="N238" s="97">
        <v>0.06</v>
      </c>
      <c r="O238" s="99" t="s">
        <v>855</v>
      </c>
      <c r="P238" s="99">
        <v>1940</v>
      </c>
      <c r="Q238" s="99" t="s">
        <v>856</v>
      </c>
      <c r="R238" s="92" t="s">
        <v>98</v>
      </c>
      <c r="S238" s="92" t="s">
        <v>98</v>
      </c>
      <c r="T238" s="94" t="s">
        <v>130</v>
      </c>
      <c r="U238" s="94" t="s">
        <v>107</v>
      </c>
    </row>
    <row r="239" s="86" customFormat="1" ht="16.5" spans="1:21">
      <c r="A239" s="91" t="s">
        <v>732</v>
      </c>
      <c r="B239" s="91" t="s">
        <v>733</v>
      </c>
      <c r="C239" s="92" t="s">
        <v>857</v>
      </c>
      <c r="D239" s="93" t="s">
        <v>858</v>
      </c>
      <c r="E239" s="91" t="s">
        <v>98</v>
      </c>
      <c r="F239" s="91" t="s">
        <v>349</v>
      </c>
      <c r="G239" s="94"/>
      <c r="H239" s="92"/>
      <c r="I239" s="92" t="s">
        <v>401</v>
      </c>
      <c r="J239" s="92" t="s">
        <v>101</v>
      </c>
      <c r="K239" s="92"/>
      <c r="L239" s="94"/>
      <c r="M239" s="99">
        <v>3149</v>
      </c>
      <c r="N239" s="97">
        <v>0.06</v>
      </c>
      <c r="O239" s="99" t="s">
        <v>546</v>
      </c>
      <c r="P239" s="99">
        <v>3149</v>
      </c>
      <c r="Q239" s="99" t="s">
        <v>546</v>
      </c>
      <c r="R239" s="92" t="s">
        <v>124</v>
      </c>
      <c r="S239" s="92" t="s">
        <v>98</v>
      </c>
      <c r="T239" s="94" t="s">
        <v>130</v>
      </c>
      <c r="U239" s="94" t="s">
        <v>107</v>
      </c>
    </row>
    <row r="240" s="86" customFormat="1" ht="16.5" spans="1:21">
      <c r="A240" s="91" t="s">
        <v>732</v>
      </c>
      <c r="B240" s="91" t="s">
        <v>733</v>
      </c>
      <c r="C240" s="92" t="s">
        <v>859</v>
      </c>
      <c r="D240" s="93" t="s">
        <v>860</v>
      </c>
      <c r="E240" s="91" t="s">
        <v>98</v>
      </c>
      <c r="F240" s="91" t="s">
        <v>349</v>
      </c>
      <c r="G240" s="94" t="s">
        <v>126</v>
      </c>
      <c r="H240" s="92" t="s">
        <v>126</v>
      </c>
      <c r="I240" s="92" t="s">
        <v>100</v>
      </c>
      <c r="J240" s="92" t="s">
        <v>101</v>
      </c>
      <c r="K240" s="92"/>
      <c r="L240" s="94"/>
      <c r="M240" s="99">
        <v>3149</v>
      </c>
      <c r="N240" s="97">
        <v>0.06</v>
      </c>
      <c r="O240" s="99" t="s">
        <v>546</v>
      </c>
      <c r="P240" s="99">
        <v>3149</v>
      </c>
      <c r="Q240" s="99" t="s">
        <v>546</v>
      </c>
      <c r="R240" s="92" t="s">
        <v>124</v>
      </c>
      <c r="S240" s="92" t="s">
        <v>98</v>
      </c>
      <c r="T240" s="94" t="s">
        <v>130</v>
      </c>
      <c r="U240" s="94" t="s">
        <v>107</v>
      </c>
    </row>
    <row r="241" s="86" customFormat="1" ht="16.5" spans="1:21">
      <c r="A241" s="91" t="s">
        <v>732</v>
      </c>
      <c r="B241" s="91" t="s">
        <v>733</v>
      </c>
      <c r="C241" s="92" t="s">
        <v>861</v>
      </c>
      <c r="D241" s="93" t="s">
        <v>862</v>
      </c>
      <c r="E241" s="91" t="s">
        <v>98</v>
      </c>
      <c r="F241" s="91" t="s">
        <v>349</v>
      </c>
      <c r="G241" s="94"/>
      <c r="H241" s="92"/>
      <c r="I241" s="92" t="s">
        <v>100</v>
      </c>
      <c r="J241" s="92" t="s">
        <v>101</v>
      </c>
      <c r="K241" s="92"/>
      <c r="L241" s="94"/>
      <c r="M241" s="99">
        <v>2408</v>
      </c>
      <c r="N241" s="97">
        <v>0.06</v>
      </c>
      <c r="O241" s="99" t="s">
        <v>360</v>
      </c>
      <c r="P241" s="99">
        <v>2408</v>
      </c>
      <c r="Q241" s="99" t="s">
        <v>360</v>
      </c>
      <c r="R241" s="92" t="s">
        <v>124</v>
      </c>
      <c r="S241" s="92" t="s">
        <v>98</v>
      </c>
      <c r="T241" s="94" t="s">
        <v>130</v>
      </c>
      <c r="U241" s="94" t="s">
        <v>107</v>
      </c>
    </row>
    <row r="242" s="86" customFormat="1" ht="16.5" spans="1:21">
      <c r="A242" s="91" t="s">
        <v>732</v>
      </c>
      <c r="B242" s="91" t="s">
        <v>733</v>
      </c>
      <c r="C242" s="92" t="s">
        <v>863</v>
      </c>
      <c r="D242" s="93" t="s">
        <v>864</v>
      </c>
      <c r="E242" s="91" t="s">
        <v>98</v>
      </c>
      <c r="F242" s="91" t="s">
        <v>349</v>
      </c>
      <c r="G242" s="94"/>
      <c r="H242" s="92"/>
      <c r="I242" s="92" t="s">
        <v>100</v>
      </c>
      <c r="J242" s="92" t="s">
        <v>101</v>
      </c>
      <c r="K242" s="92"/>
      <c r="L242" s="94"/>
      <c r="M242" s="99">
        <v>2408</v>
      </c>
      <c r="N242" s="97">
        <v>0.06</v>
      </c>
      <c r="O242" s="99" t="s">
        <v>360</v>
      </c>
      <c r="P242" s="99">
        <v>2408</v>
      </c>
      <c r="Q242" s="99" t="s">
        <v>360</v>
      </c>
      <c r="R242" s="92" t="s">
        <v>124</v>
      </c>
      <c r="S242" s="92" t="s">
        <v>98</v>
      </c>
      <c r="T242" s="94" t="s">
        <v>130</v>
      </c>
      <c r="U242" s="94" t="s">
        <v>107</v>
      </c>
    </row>
    <row r="243" s="86" customFormat="1" ht="16.5" spans="1:21">
      <c r="A243" s="91" t="s">
        <v>865</v>
      </c>
      <c r="B243" s="91" t="s">
        <v>866</v>
      </c>
      <c r="C243" s="92" t="s">
        <v>867</v>
      </c>
      <c r="D243" s="93" t="s">
        <v>868</v>
      </c>
      <c r="E243" s="91" t="s">
        <v>98</v>
      </c>
      <c r="F243" s="91" t="s">
        <v>99</v>
      </c>
      <c r="G243" s="94" t="s">
        <v>179</v>
      </c>
      <c r="H243" s="92" t="s">
        <v>869</v>
      </c>
      <c r="I243" s="92" t="s">
        <v>870</v>
      </c>
      <c r="J243" s="92" t="s">
        <v>870</v>
      </c>
      <c r="K243" s="92" t="s">
        <v>871</v>
      </c>
      <c r="L243" s="94" t="s">
        <v>872</v>
      </c>
      <c r="M243" s="96" t="s">
        <v>873</v>
      </c>
      <c r="N243" s="97">
        <v>0.06</v>
      </c>
      <c r="O243" s="100" t="s">
        <v>874</v>
      </c>
      <c r="P243" s="99" t="s">
        <v>875</v>
      </c>
      <c r="Q243" s="99" t="s">
        <v>876</v>
      </c>
      <c r="R243" s="92" t="s">
        <v>98</v>
      </c>
      <c r="S243" s="92" t="s">
        <v>124</v>
      </c>
      <c r="T243" s="94" t="s">
        <v>130</v>
      </c>
      <c r="U243" s="94" t="s">
        <v>107</v>
      </c>
    </row>
    <row r="244" s="86" customFormat="1" ht="16.5" spans="1:21">
      <c r="A244" s="91" t="s">
        <v>865</v>
      </c>
      <c r="B244" s="91" t="s">
        <v>866</v>
      </c>
      <c r="C244" s="92" t="s">
        <v>877</v>
      </c>
      <c r="D244" s="93" t="s">
        <v>878</v>
      </c>
      <c r="E244" s="91" t="s">
        <v>98</v>
      </c>
      <c r="F244" s="91" t="s">
        <v>99</v>
      </c>
      <c r="G244" s="94" t="s">
        <v>126</v>
      </c>
      <c r="H244" s="92" t="s">
        <v>126</v>
      </c>
      <c r="I244" s="92" t="s">
        <v>870</v>
      </c>
      <c r="J244" s="92" t="s">
        <v>870</v>
      </c>
      <c r="K244" s="92"/>
      <c r="L244" s="94"/>
      <c r="M244" s="96" t="s">
        <v>879</v>
      </c>
      <c r="N244" s="97">
        <v>0.06</v>
      </c>
      <c r="O244" s="100" t="s">
        <v>880</v>
      </c>
      <c r="P244" s="99" t="s">
        <v>881</v>
      </c>
      <c r="Q244" s="99" t="s">
        <v>882</v>
      </c>
      <c r="R244" s="92" t="s">
        <v>98</v>
      </c>
      <c r="S244" s="92" t="s">
        <v>124</v>
      </c>
      <c r="T244" s="94" t="s">
        <v>130</v>
      </c>
      <c r="U244" s="94" t="s">
        <v>107</v>
      </c>
    </row>
    <row r="245" s="86" customFormat="1" ht="16.5" spans="1:21">
      <c r="A245" s="91" t="s">
        <v>865</v>
      </c>
      <c r="B245" s="91" t="s">
        <v>866</v>
      </c>
      <c r="C245" s="92" t="s">
        <v>883</v>
      </c>
      <c r="D245" s="93" t="s">
        <v>884</v>
      </c>
      <c r="E245" s="91" t="s">
        <v>98</v>
      </c>
      <c r="F245" s="91" t="s">
        <v>349</v>
      </c>
      <c r="G245" s="94"/>
      <c r="H245" s="92"/>
      <c r="I245" s="92" t="s">
        <v>870</v>
      </c>
      <c r="J245" s="92"/>
      <c r="K245" s="92"/>
      <c r="L245" s="94"/>
      <c r="M245" s="103">
        <v>2758</v>
      </c>
      <c r="N245" s="97">
        <v>0.06</v>
      </c>
      <c r="O245" s="103" t="s">
        <v>885</v>
      </c>
      <c r="P245" s="99">
        <v>2758</v>
      </c>
      <c r="Q245" s="99" t="s">
        <v>885</v>
      </c>
      <c r="R245" s="92" t="s">
        <v>124</v>
      </c>
      <c r="S245" s="92" t="s">
        <v>98</v>
      </c>
      <c r="T245" s="94" t="s">
        <v>130</v>
      </c>
      <c r="U245" s="94" t="s">
        <v>107</v>
      </c>
    </row>
    <row r="246" s="86" customFormat="1" ht="16.5" spans="1:21">
      <c r="A246" s="91" t="s">
        <v>865</v>
      </c>
      <c r="B246" s="91" t="s">
        <v>866</v>
      </c>
      <c r="C246" s="92" t="s">
        <v>886</v>
      </c>
      <c r="D246" s="93" t="s">
        <v>887</v>
      </c>
      <c r="E246" s="91" t="s">
        <v>98</v>
      </c>
      <c r="F246" s="91" t="s">
        <v>99</v>
      </c>
      <c r="G246" s="94"/>
      <c r="H246" s="92"/>
      <c r="I246" s="92" t="s">
        <v>870</v>
      </c>
      <c r="J246" s="92"/>
      <c r="K246" s="92"/>
      <c r="L246" s="94"/>
      <c r="M246" s="96" t="s">
        <v>888</v>
      </c>
      <c r="N246" s="97">
        <v>0.06</v>
      </c>
      <c r="O246" s="98" t="s">
        <v>889</v>
      </c>
      <c r="P246" s="99" t="s">
        <v>890</v>
      </c>
      <c r="Q246" s="99" t="s">
        <v>891</v>
      </c>
      <c r="R246" s="92" t="s">
        <v>98</v>
      </c>
      <c r="S246" s="92" t="s">
        <v>98</v>
      </c>
      <c r="T246" s="94" t="s">
        <v>130</v>
      </c>
      <c r="U246" s="94" t="s">
        <v>107</v>
      </c>
    </row>
    <row r="247" s="86" customFormat="1" ht="16.5" spans="1:21">
      <c r="A247" s="91" t="s">
        <v>865</v>
      </c>
      <c r="B247" s="91" t="s">
        <v>866</v>
      </c>
      <c r="C247" s="92" t="s">
        <v>892</v>
      </c>
      <c r="D247" s="93" t="s">
        <v>893</v>
      </c>
      <c r="E247" s="91" t="s">
        <v>98</v>
      </c>
      <c r="F247" s="91" t="s">
        <v>99</v>
      </c>
      <c r="G247" s="94"/>
      <c r="H247" s="92"/>
      <c r="I247" s="92" t="s">
        <v>870</v>
      </c>
      <c r="J247" s="92"/>
      <c r="K247" s="92"/>
      <c r="L247" s="94"/>
      <c r="M247" s="96" t="s">
        <v>873</v>
      </c>
      <c r="N247" s="97">
        <v>0.06</v>
      </c>
      <c r="O247" s="100" t="s">
        <v>874</v>
      </c>
      <c r="P247" s="99" t="s">
        <v>894</v>
      </c>
      <c r="Q247" s="99" t="s">
        <v>895</v>
      </c>
      <c r="R247" s="92" t="s">
        <v>98</v>
      </c>
      <c r="S247" s="92" t="s">
        <v>98</v>
      </c>
      <c r="T247" s="94" t="s">
        <v>130</v>
      </c>
      <c r="U247" s="94" t="s">
        <v>107</v>
      </c>
    </row>
    <row r="248" s="86" customFormat="1" ht="16.5" spans="1:21">
      <c r="A248" s="91" t="s">
        <v>865</v>
      </c>
      <c r="B248" s="91" t="s">
        <v>866</v>
      </c>
      <c r="C248" s="92" t="s">
        <v>896</v>
      </c>
      <c r="D248" s="93" t="s">
        <v>897</v>
      </c>
      <c r="E248" s="91" t="s">
        <v>98</v>
      </c>
      <c r="F248" s="91" t="s">
        <v>99</v>
      </c>
      <c r="G248" s="94"/>
      <c r="H248" s="92"/>
      <c r="I248" s="92" t="s">
        <v>870</v>
      </c>
      <c r="J248" s="92"/>
      <c r="K248" s="92"/>
      <c r="L248" s="94"/>
      <c r="M248" s="96" t="s">
        <v>873</v>
      </c>
      <c r="N248" s="97">
        <v>0.06</v>
      </c>
      <c r="O248" s="100" t="s">
        <v>874</v>
      </c>
      <c r="P248" s="99" t="s">
        <v>894</v>
      </c>
      <c r="Q248" s="99" t="s">
        <v>895</v>
      </c>
      <c r="R248" s="92" t="s">
        <v>98</v>
      </c>
      <c r="S248" s="92" t="s">
        <v>98</v>
      </c>
      <c r="T248" s="94" t="s">
        <v>130</v>
      </c>
      <c r="U248" s="94" t="s">
        <v>107</v>
      </c>
    </row>
    <row r="249" s="86" customFormat="1" ht="16.5" spans="1:21">
      <c r="A249" s="91" t="s">
        <v>865</v>
      </c>
      <c r="B249" s="91" t="s">
        <v>866</v>
      </c>
      <c r="C249" s="92" t="s">
        <v>898</v>
      </c>
      <c r="D249" s="93" t="s">
        <v>899</v>
      </c>
      <c r="E249" s="91" t="s">
        <v>98</v>
      </c>
      <c r="F249" s="91" t="s">
        <v>99</v>
      </c>
      <c r="G249" s="94"/>
      <c r="H249" s="92"/>
      <c r="I249" s="92" t="s">
        <v>870</v>
      </c>
      <c r="J249" s="92"/>
      <c r="K249" s="92"/>
      <c r="L249" s="94"/>
      <c r="M249" s="96" t="s">
        <v>873</v>
      </c>
      <c r="N249" s="97">
        <v>0.06</v>
      </c>
      <c r="O249" s="100" t="s">
        <v>874</v>
      </c>
      <c r="P249" s="99" t="s">
        <v>894</v>
      </c>
      <c r="Q249" s="99" t="s">
        <v>895</v>
      </c>
      <c r="R249" s="92" t="s">
        <v>98</v>
      </c>
      <c r="S249" s="92" t="s">
        <v>98</v>
      </c>
      <c r="T249" s="94" t="s">
        <v>130</v>
      </c>
      <c r="U249" s="94" t="s">
        <v>107</v>
      </c>
    </row>
    <row r="250" s="86" customFormat="1" ht="16.5" spans="1:21">
      <c r="A250" s="91"/>
      <c r="B250" s="91" t="s">
        <v>433</v>
      </c>
      <c r="C250" s="92" t="s">
        <v>900</v>
      </c>
      <c r="D250" s="93" t="s">
        <v>901</v>
      </c>
      <c r="E250" s="91" t="s">
        <v>98</v>
      </c>
      <c r="F250" s="91" t="s">
        <v>99</v>
      </c>
      <c r="G250" s="94" t="s">
        <v>195</v>
      </c>
      <c r="H250" s="92" t="s">
        <v>196</v>
      </c>
      <c r="I250" s="92" t="s">
        <v>433</v>
      </c>
      <c r="J250" s="92"/>
      <c r="K250" s="92"/>
      <c r="L250" s="94"/>
      <c r="M250" s="99">
        <v>1569</v>
      </c>
      <c r="N250" s="97">
        <v>0.06</v>
      </c>
      <c r="O250" s="98" t="s">
        <v>902</v>
      </c>
      <c r="P250" s="99">
        <v>1569</v>
      </c>
      <c r="Q250" s="99" t="s">
        <v>902</v>
      </c>
      <c r="R250" s="92" t="s">
        <v>98</v>
      </c>
      <c r="S250" s="92" t="s">
        <v>124</v>
      </c>
      <c r="T250" s="94" t="s">
        <v>130</v>
      </c>
      <c r="U250" s="94" t="s">
        <v>107</v>
      </c>
    </row>
    <row r="251" s="86" customFormat="1" ht="16.5" spans="1:21">
      <c r="A251" s="91"/>
      <c r="B251" s="91" t="s">
        <v>433</v>
      </c>
      <c r="C251" s="92" t="s">
        <v>903</v>
      </c>
      <c r="D251" s="93" t="s">
        <v>904</v>
      </c>
      <c r="E251" s="91" t="s">
        <v>98</v>
      </c>
      <c r="F251" s="91" t="s">
        <v>99</v>
      </c>
      <c r="G251" s="94" t="s">
        <v>195</v>
      </c>
      <c r="H251" s="92" t="s">
        <v>196</v>
      </c>
      <c r="I251" s="92" t="s">
        <v>433</v>
      </c>
      <c r="J251" s="92"/>
      <c r="K251" s="92"/>
      <c r="L251" s="94"/>
      <c r="M251" s="99">
        <v>1818</v>
      </c>
      <c r="N251" s="97">
        <v>0.06</v>
      </c>
      <c r="O251" s="100" t="s">
        <v>905</v>
      </c>
      <c r="P251" s="99">
        <v>1818</v>
      </c>
      <c r="Q251" s="99" t="s">
        <v>905</v>
      </c>
      <c r="R251" s="92" t="s">
        <v>98</v>
      </c>
      <c r="S251" s="92" t="s">
        <v>124</v>
      </c>
      <c r="T251" s="94" t="s">
        <v>130</v>
      </c>
      <c r="U251" s="94" t="s">
        <v>107</v>
      </c>
    </row>
    <row r="252" s="86" customFormat="1" ht="16.5" spans="1:21">
      <c r="A252" s="91" t="s">
        <v>318</v>
      </c>
      <c r="B252" s="91" t="s">
        <v>319</v>
      </c>
      <c r="C252" s="92" t="s">
        <v>906</v>
      </c>
      <c r="D252" s="93" t="s">
        <v>907</v>
      </c>
      <c r="E252" s="91" t="s">
        <v>98</v>
      </c>
      <c r="F252" s="91" t="s">
        <v>99</v>
      </c>
      <c r="G252" s="94" t="s">
        <v>179</v>
      </c>
      <c r="H252" s="92" t="s">
        <v>908</v>
      </c>
      <c r="I252" s="92" t="s">
        <v>322</v>
      </c>
      <c r="J252" s="92" t="s">
        <v>101</v>
      </c>
      <c r="K252" s="92"/>
      <c r="L252" s="94"/>
      <c r="M252" s="96" t="s">
        <v>909</v>
      </c>
      <c r="N252" s="97">
        <v>0.06</v>
      </c>
      <c r="O252" s="98" t="s">
        <v>910</v>
      </c>
      <c r="P252" s="99" t="s">
        <v>911</v>
      </c>
      <c r="Q252" s="99" t="s">
        <v>912</v>
      </c>
      <c r="R252" s="92" t="s">
        <v>98</v>
      </c>
      <c r="S252" s="92" t="s">
        <v>98</v>
      </c>
      <c r="T252" s="94" t="s">
        <v>130</v>
      </c>
      <c r="U252" s="94" t="s">
        <v>107</v>
      </c>
    </row>
    <row r="253" s="86" customFormat="1" ht="16.5" spans="1:21">
      <c r="A253" s="91" t="s">
        <v>670</v>
      </c>
      <c r="B253" s="91" t="s">
        <v>671</v>
      </c>
      <c r="C253" s="92" t="s">
        <v>913</v>
      </c>
      <c r="D253" s="93" t="s">
        <v>914</v>
      </c>
      <c r="E253" s="91" t="s">
        <v>124</v>
      </c>
      <c r="F253" s="91" t="s">
        <v>99</v>
      </c>
      <c r="G253" s="94" t="s">
        <v>179</v>
      </c>
      <c r="H253" s="92" t="s">
        <v>915</v>
      </c>
      <c r="I253" s="92" t="s">
        <v>401</v>
      </c>
      <c r="J253" s="92" t="s">
        <v>101</v>
      </c>
      <c r="K253" s="92"/>
      <c r="L253" s="94"/>
      <c r="M253" s="99">
        <v>2885</v>
      </c>
      <c r="N253" s="97">
        <v>0.06</v>
      </c>
      <c r="O253" s="99" t="s">
        <v>692</v>
      </c>
      <c r="P253" s="99" t="s">
        <v>916</v>
      </c>
      <c r="Q253" s="99" t="s">
        <v>917</v>
      </c>
      <c r="R253" s="92" t="s">
        <v>98</v>
      </c>
      <c r="S253" s="92" t="s">
        <v>98</v>
      </c>
      <c r="T253" s="94" t="s">
        <v>130</v>
      </c>
      <c r="U253" s="94" t="s">
        <v>107</v>
      </c>
    </row>
    <row r="254" s="86" customFormat="1" ht="16.5" spans="1:21">
      <c r="A254" s="91" t="s">
        <v>732</v>
      </c>
      <c r="B254" s="91" t="s">
        <v>733</v>
      </c>
      <c r="C254" s="92" t="s">
        <v>918</v>
      </c>
      <c r="D254" s="93" t="s">
        <v>919</v>
      </c>
      <c r="E254" s="91" t="s">
        <v>98</v>
      </c>
      <c r="F254" s="91" t="s">
        <v>349</v>
      </c>
      <c r="G254" s="94"/>
      <c r="H254" s="92" t="s">
        <v>920</v>
      </c>
      <c r="I254" s="92" t="s">
        <v>100</v>
      </c>
      <c r="J254" s="92" t="s">
        <v>101</v>
      </c>
      <c r="K254" s="92"/>
      <c r="L254" s="94"/>
      <c r="M254" s="99">
        <v>2386</v>
      </c>
      <c r="N254" s="97">
        <v>0.06</v>
      </c>
      <c r="O254" s="99" t="s">
        <v>921</v>
      </c>
      <c r="P254" s="99" t="s">
        <v>922</v>
      </c>
      <c r="Q254" s="99" t="s">
        <v>923</v>
      </c>
      <c r="R254" s="92" t="s">
        <v>124</v>
      </c>
      <c r="S254" s="92" t="s">
        <v>124</v>
      </c>
      <c r="T254" s="94" t="s">
        <v>130</v>
      </c>
      <c r="U254" s="94" t="s">
        <v>107</v>
      </c>
    </row>
    <row r="255" s="86" customFormat="1" ht="16.5" spans="1:21">
      <c r="A255" s="91" t="s">
        <v>732</v>
      </c>
      <c r="B255" s="91" t="s">
        <v>733</v>
      </c>
      <c r="C255" s="92" t="s">
        <v>924</v>
      </c>
      <c r="D255" s="93" t="s">
        <v>925</v>
      </c>
      <c r="E255" s="91" t="s">
        <v>98</v>
      </c>
      <c r="F255" s="91" t="s">
        <v>349</v>
      </c>
      <c r="G255" s="94"/>
      <c r="H255" s="92"/>
      <c r="I255" s="92" t="s">
        <v>100</v>
      </c>
      <c r="J255" s="92" t="s">
        <v>101</v>
      </c>
      <c r="K255" s="92"/>
      <c r="L255" s="94"/>
      <c r="M255" s="99">
        <v>3187</v>
      </c>
      <c r="N255" s="97">
        <v>0.06</v>
      </c>
      <c r="O255" s="99" t="s">
        <v>926</v>
      </c>
      <c r="P255" s="99">
        <v>3187</v>
      </c>
      <c r="Q255" s="99" t="s">
        <v>926</v>
      </c>
      <c r="R255" s="92" t="s">
        <v>124</v>
      </c>
      <c r="S255" s="92" t="s">
        <v>98</v>
      </c>
      <c r="T255" s="94" t="s">
        <v>130</v>
      </c>
      <c r="U255" s="94" t="s">
        <v>107</v>
      </c>
    </row>
    <row r="256" s="86" customFormat="1" ht="16.5" spans="1:21">
      <c r="A256" s="91" t="s">
        <v>732</v>
      </c>
      <c r="B256" s="91" t="s">
        <v>733</v>
      </c>
      <c r="C256" s="92" t="s">
        <v>927</v>
      </c>
      <c r="D256" s="93" t="s">
        <v>928</v>
      </c>
      <c r="E256" s="91" t="s">
        <v>98</v>
      </c>
      <c r="F256" s="91" t="s">
        <v>349</v>
      </c>
      <c r="G256" s="94"/>
      <c r="H256" s="92"/>
      <c r="I256" s="92" t="s">
        <v>100</v>
      </c>
      <c r="J256" s="92" t="s">
        <v>101</v>
      </c>
      <c r="K256" s="92"/>
      <c r="L256" s="94"/>
      <c r="M256" s="99">
        <v>3178</v>
      </c>
      <c r="N256" s="97">
        <v>0.06</v>
      </c>
      <c r="O256" s="99" t="s">
        <v>929</v>
      </c>
      <c r="P256" s="99" t="s">
        <v>930</v>
      </c>
      <c r="Q256" s="99" t="s">
        <v>931</v>
      </c>
      <c r="R256" s="92" t="s">
        <v>124</v>
      </c>
      <c r="S256" s="92" t="s">
        <v>98</v>
      </c>
      <c r="T256" s="94" t="s">
        <v>130</v>
      </c>
      <c r="U256" s="94" t="s">
        <v>107</v>
      </c>
    </row>
    <row r="257" s="86" customFormat="1" ht="16.5" spans="1:21">
      <c r="A257" s="91" t="s">
        <v>865</v>
      </c>
      <c r="B257" s="91" t="s">
        <v>866</v>
      </c>
      <c r="C257" s="92" t="s">
        <v>932</v>
      </c>
      <c r="D257" s="93" t="s">
        <v>933</v>
      </c>
      <c r="E257" s="91" t="s">
        <v>98</v>
      </c>
      <c r="F257" s="91" t="s">
        <v>99</v>
      </c>
      <c r="G257" s="94"/>
      <c r="H257" s="92"/>
      <c r="I257" s="92" t="s">
        <v>870</v>
      </c>
      <c r="J257" s="92"/>
      <c r="K257" s="92"/>
      <c r="L257" s="94"/>
      <c r="M257" s="99"/>
      <c r="N257" s="97"/>
      <c r="O257" s="99"/>
      <c r="P257" s="99"/>
      <c r="Q257" s="99"/>
      <c r="R257" s="92" t="s">
        <v>98</v>
      </c>
      <c r="S257" s="92" t="s">
        <v>98</v>
      </c>
      <c r="T257" s="94" t="s">
        <v>130</v>
      </c>
      <c r="U257" s="94" t="s">
        <v>107</v>
      </c>
    </row>
    <row r="258" s="86" customFormat="1" ht="16.5" spans="1:21">
      <c r="A258" s="91" t="s">
        <v>865</v>
      </c>
      <c r="B258" s="91" t="s">
        <v>866</v>
      </c>
      <c r="C258" s="92" t="s">
        <v>934</v>
      </c>
      <c r="D258" s="93" t="s">
        <v>935</v>
      </c>
      <c r="E258" s="91" t="s">
        <v>98</v>
      </c>
      <c r="F258" s="91" t="s">
        <v>99</v>
      </c>
      <c r="G258" s="94"/>
      <c r="H258" s="92"/>
      <c r="I258" s="92" t="s">
        <v>870</v>
      </c>
      <c r="J258" s="92"/>
      <c r="K258" s="92"/>
      <c r="L258" s="94"/>
      <c r="M258" s="99"/>
      <c r="N258" s="97"/>
      <c r="O258" s="99"/>
      <c r="P258" s="99"/>
      <c r="Q258" s="99"/>
      <c r="R258" s="92" t="s">
        <v>98</v>
      </c>
      <c r="S258" s="92" t="s">
        <v>98</v>
      </c>
      <c r="T258" s="94" t="s">
        <v>130</v>
      </c>
      <c r="U258" s="94" t="s">
        <v>107</v>
      </c>
    </row>
    <row r="259" s="86" customFormat="1" ht="16.5" spans="1:21">
      <c r="A259" s="91" t="s">
        <v>361</v>
      </c>
      <c r="B259" s="91" t="s">
        <v>362</v>
      </c>
      <c r="C259" s="92" t="s">
        <v>936</v>
      </c>
      <c r="D259" s="93" t="s">
        <v>937</v>
      </c>
      <c r="E259" s="91" t="s">
        <v>124</v>
      </c>
      <c r="F259" s="91" t="s">
        <v>99</v>
      </c>
      <c r="G259" s="94" t="s">
        <v>179</v>
      </c>
      <c r="H259" s="92" t="s">
        <v>938</v>
      </c>
      <c r="I259" s="92" t="s">
        <v>172</v>
      </c>
      <c r="J259" s="92" t="s">
        <v>101</v>
      </c>
      <c r="K259" s="92"/>
      <c r="L259" s="94"/>
      <c r="M259" s="99">
        <v>3196</v>
      </c>
      <c r="N259" s="97">
        <v>0.09</v>
      </c>
      <c r="O259" s="99" t="s">
        <v>939</v>
      </c>
      <c r="P259" s="99">
        <v>3196</v>
      </c>
      <c r="Q259" s="99" t="s">
        <v>939</v>
      </c>
      <c r="R259" s="92" t="s">
        <v>124</v>
      </c>
      <c r="S259" s="92"/>
      <c r="T259" s="94" t="s">
        <v>130</v>
      </c>
      <c r="U259" s="94" t="s">
        <v>107</v>
      </c>
    </row>
    <row r="260" s="87" customFormat="1" ht="14.25" spans="1:22">
      <c r="A260" s="104"/>
      <c r="B260" s="104"/>
      <c r="C260" s="105"/>
      <c r="D260" s="106" t="s">
        <v>940</v>
      </c>
      <c r="E260" s="104"/>
      <c r="F260" s="91" t="s">
        <v>695</v>
      </c>
      <c r="G260" s="107"/>
      <c r="H260" s="105"/>
      <c r="I260" s="105"/>
      <c r="J260" s="105"/>
      <c r="K260" s="105"/>
      <c r="L260" s="107"/>
      <c r="M260" s="44">
        <v>2862</v>
      </c>
      <c r="N260" s="109">
        <v>0.06</v>
      </c>
      <c r="O260" s="110" t="s">
        <v>941</v>
      </c>
      <c r="R260" s="105"/>
      <c r="S260" s="105"/>
      <c r="T260" s="107"/>
      <c r="U260" s="107"/>
      <c r="V260"/>
    </row>
    <row r="261" s="87" customFormat="1" ht="14.25" spans="1:22">
      <c r="A261" s="104"/>
      <c r="B261" s="104"/>
      <c r="C261" s="105"/>
      <c r="D261" s="106" t="s">
        <v>942</v>
      </c>
      <c r="E261" s="104"/>
      <c r="F261" s="91" t="s">
        <v>695</v>
      </c>
      <c r="G261" s="107"/>
      <c r="H261" s="105"/>
      <c r="I261" s="105"/>
      <c r="J261" s="105"/>
      <c r="K261" s="105"/>
      <c r="L261" s="107"/>
      <c r="M261" s="44">
        <v>3131</v>
      </c>
      <c r="N261" s="109">
        <v>0.06</v>
      </c>
      <c r="O261" s="110" t="s">
        <v>943</v>
      </c>
      <c r="R261" s="105"/>
      <c r="S261" s="105"/>
      <c r="T261" s="107"/>
      <c r="U261" s="107"/>
      <c r="V261"/>
    </row>
    <row r="262" s="87" customFormat="1" ht="14.25" spans="1:22">
      <c r="A262" s="104"/>
      <c r="B262" s="104"/>
      <c r="C262" s="105"/>
      <c r="D262" s="106" t="s">
        <v>944</v>
      </c>
      <c r="E262" s="104"/>
      <c r="F262" s="91" t="s">
        <v>99</v>
      </c>
      <c r="G262" s="107"/>
      <c r="H262" s="105"/>
      <c r="I262" s="105"/>
      <c r="J262" s="105"/>
      <c r="K262" s="105"/>
      <c r="L262" s="107"/>
      <c r="M262" s="44">
        <v>1405</v>
      </c>
      <c r="N262" s="109">
        <v>0.13</v>
      </c>
      <c r="O262" s="110" t="s">
        <v>945</v>
      </c>
      <c r="R262" s="105"/>
      <c r="S262" s="105"/>
      <c r="T262" s="107"/>
      <c r="U262" s="107"/>
      <c r="V262"/>
    </row>
    <row r="263" s="87" customFormat="1" ht="14.25" spans="1:22">
      <c r="A263" s="104"/>
      <c r="B263" s="104"/>
      <c r="C263" s="105"/>
      <c r="D263" s="106" t="s">
        <v>946</v>
      </c>
      <c r="E263" s="104"/>
      <c r="F263" s="91" t="s">
        <v>125</v>
      </c>
      <c r="G263" s="107"/>
      <c r="H263" s="105"/>
      <c r="I263" s="105"/>
      <c r="J263" s="105"/>
      <c r="K263" s="105"/>
      <c r="L263" s="107"/>
      <c r="M263" s="44">
        <v>1765</v>
      </c>
      <c r="N263" s="109">
        <v>0.13</v>
      </c>
      <c r="O263" s="110" t="s">
        <v>947</v>
      </c>
      <c r="R263" s="105"/>
      <c r="S263" s="105"/>
      <c r="T263" s="107"/>
      <c r="U263" s="107"/>
      <c r="V263"/>
    </row>
    <row r="264" s="87" customFormat="1" ht="14.25" spans="1:22">
      <c r="A264" s="104"/>
      <c r="B264" s="104"/>
      <c r="C264" s="105"/>
      <c r="E264" s="104"/>
      <c r="F264" s="104"/>
      <c r="G264" s="107"/>
      <c r="H264" s="105"/>
      <c r="I264" s="105"/>
      <c r="J264" s="105"/>
      <c r="K264" s="105"/>
      <c r="L264" s="107"/>
      <c r="M264" s="44">
        <v>1006</v>
      </c>
      <c r="N264" s="111">
        <v>0.09</v>
      </c>
      <c r="O264" s="110" t="s">
        <v>948</v>
      </c>
      <c r="R264" s="105"/>
      <c r="S264" s="105"/>
      <c r="T264" s="107"/>
      <c r="U264" s="107"/>
      <c r="V264"/>
    </row>
    <row r="265" s="87" customFormat="1" ht="18" spans="1:21">
      <c r="A265" s="108" t="s">
        <v>949</v>
      </c>
      <c r="B265" s="104"/>
      <c r="C265" s="105"/>
      <c r="E265" s="104"/>
      <c r="F265" s="104"/>
      <c r="G265" s="107"/>
      <c r="H265" s="105"/>
      <c r="I265" s="105"/>
      <c r="J265" s="105"/>
      <c r="K265" s="105"/>
      <c r="L265" s="107"/>
      <c r="M265" s="44">
        <v>3155</v>
      </c>
      <c r="N265" s="111">
        <v>0.09</v>
      </c>
      <c r="O265" s="110" t="s">
        <v>950</v>
      </c>
      <c r="R265" s="105"/>
      <c r="S265" s="105"/>
      <c r="T265" s="107"/>
      <c r="U265" s="107"/>
    </row>
    <row r="266" s="87" customFormat="1" ht="14.25" spans="1:21">
      <c r="A266" s="104"/>
      <c r="B266" s="104"/>
      <c r="C266" s="105"/>
      <c r="E266" s="104"/>
      <c r="F266" s="104"/>
      <c r="G266" s="107"/>
      <c r="H266" s="105"/>
      <c r="I266" s="105"/>
      <c r="J266" s="105"/>
      <c r="K266" s="105"/>
      <c r="L266" s="107"/>
      <c r="M266" s="44">
        <v>3156</v>
      </c>
      <c r="N266" s="111">
        <v>0.09</v>
      </c>
      <c r="O266" s="110" t="s">
        <v>951</v>
      </c>
      <c r="R266" s="105"/>
      <c r="S266" s="105"/>
      <c r="T266" s="107"/>
      <c r="U266" s="107"/>
    </row>
    <row r="267" s="87" customFormat="1" ht="14.25" spans="1:21">
      <c r="A267" s="104"/>
      <c r="B267" s="104"/>
      <c r="C267" s="105"/>
      <c r="E267" s="104"/>
      <c r="F267" s="104"/>
      <c r="G267" s="107"/>
      <c r="H267" s="105"/>
      <c r="I267" s="105"/>
      <c r="J267" s="105"/>
      <c r="K267" s="105"/>
      <c r="L267" s="107"/>
      <c r="M267" s="44">
        <v>3157</v>
      </c>
      <c r="N267" s="111">
        <v>0.09</v>
      </c>
      <c r="O267" s="110" t="s">
        <v>952</v>
      </c>
      <c r="R267" s="105"/>
      <c r="S267" s="105"/>
      <c r="T267" s="107"/>
      <c r="U267" s="107"/>
    </row>
    <row r="268" s="87" customFormat="1" ht="14.25" spans="1:21">
      <c r="A268" s="104"/>
      <c r="B268" s="104"/>
      <c r="C268" s="105"/>
      <c r="E268" s="104"/>
      <c r="F268" s="104"/>
      <c r="G268" s="107"/>
      <c r="H268" s="105"/>
      <c r="I268" s="105"/>
      <c r="J268" s="105"/>
      <c r="K268" s="105"/>
      <c r="L268" s="107"/>
      <c r="M268" s="44">
        <v>1024</v>
      </c>
      <c r="N268" s="111">
        <v>0.09</v>
      </c>
      <c r="O268" s="110" t="s">
        <v>953</v>
      </c>
      <c r="R268" s="105"/>
      <c r="S268" s="105"/>
      <c r="T268" s="107"/>
      <c r="U268" s="107"/>
    </row>
    <row r="269" s="87" customFormat="1" ht="14.25" spans="1:21">
      <c r="A269" s="104"/>
      <c r="B269" s="104"/>
      <c r="C269" s="105"/>
      <c r="E269" s="104"/>
      <c r="F269" s="104"/>
      <c r="G269" s="107"/>
      <c r="H269" s="105"/>
      <c r="I269" s="105"/>
      <c r="J269" s="105"/>
      <c r="K269" s="105"/>
      <c r="L269" s="107"/>
      <c r="M269" s="44">
        <v>1027</v>
      </c>
      <c r="N269" s="111">
        <v>0.09</v>
      </c>
      <c r="O269" s="110" t="s">
        <v>954</v>
      </c>
      <c r="R269" s="105"/>
      <c r="S269" s="105"/>
      <c r="T269" s="107"/>
      <c r="U269" s="107"/>
    </row>
    <row r="270" s="87" customFormat="1" ht="14.25" spans="2:22">
      <c r="B270" s="104"/>
      <c r="C270" s="105"/>
      <c r="E270" s="104"/>
      <c r="F270" s="104"/>
      <c r="G270" s="107"/>
      <c r="H270" s="105"/>
      <c r="I270" s="105"/>
      <c r="J270" s="105"/>
      <c r="K270" s="105"/>
      <c r="L270" s="107"/>
      <c r="M270" s="44">
        <v>1031</v>
      </c>
      <c r="N270" s="111">
        <v>0.09</v>
      </c>
      <c r="O270" s="110" t="s">
        <v>955</v>
      </c>
      <c r="R270" s="105"/>
      <c r="S270" s="105"/>
      <c r="T270" s="107"/>
      <c r="U270" s="107"/>
      <c r="V270" s="112"/>
    </row>
    <row r="271" s="87" customFormat="1" ht="14.25" spans="13:15">
      <c r="M271" s="44">
        <v>1032</v>
      </c>
      <c r="N271" s="111">
        <v>0.09</v>
      </c>
      <c r="O271" s="110" t="s">
        <v>956</v>
      </c>
    </row>
    <row r="272" ht="14.25" spans="13:15">
      <c r="M272" s="44">
        <v>1967</v>
      </c>
      <c r="N272" s="109">
        <v>0.09</v>
      </c>
      <c r="O272" s="110" t="s">
        <v>957</v>
      </c>
    </row>
    <row r="273" ht="14.25" spans="13:15">
      <c r="M273" s="44">
        <v>1034</v>
      </c>
      <c r="N273" s="109">
        <v>0.09</v>
      </c>
      <c r="O273" s="110" t="s">
        <v>958</v>
      </c>
    </row>
    <row r="274" ht="14.25" spans="13:15">
      <c r="M274" s="44">
        <v>1035</v>
      </c>
      <c r="N274" s="109">
        <v>0.09</v>
      </c>
      <c r="O274" s="110" t="s">
        <v>959</v>
      </c>
    </row>
    <row r="275" ht="14.25" spans="13:15">
      <c r="M275" s="44">
        <v>2037</v>
      </c>
      <c r="N275" s="109">
        <v>0.09</v>
      </c>
      <c r="O275" s="110" t="s">
        <v>960</v>
      </c>
    </row>
    <row r="276" ht="14.25" spans="13:15">
      <c r="M276" s="44">
        <v>1036</v>
      </c>
      <c r="N276" s="109">
        <v>0</v>
      </c>
      <c r="O276" s="110" t="s">
        <v>961</v>
      </c>
    </row>
    <row r="277" ht="14.25" spans="13:15">
      <c r="M277" s="44">
        <v>1037</v>
      </c>
      <c r="N277" s="109">
        <v>0</v>
      </c>
      <c r="O277" s="110" t="s">
        <v>962</v>
      </c>
    </row>
    <row r="278" ht="14.25" spans="13:15">
      <c r="M278" s="44">
        <v>2961</v>
      </c>
      <c r="N278" s="109">
        <v>0.09</v>
      </c>
      <c r="O278" s="110" t="s">
        <v>963</v>
      </c>
    </row>
    <row r="279" ht="14.25" spans="13:15">
      <c r="M279" s="44">
        <v>1042</v>
      </c>
      <c r="N279" s="109">
        <v>0.06</v>
      </c>
      <c r="O279" s="110" t="s">
        <v>964</v>
      </c>
    </row>
    <row r="280" ht="14.25" spans="13:15">
      <c r="M280" s="44">
        <v>1043</v>
      </c>
      <c r="N280" s="109">
        <v>0.06</v>
      </c>
      <c r="O280" s="110" t="s">
        <v>965</v>
      </c>
    </row>
    <row r="281" ht="14.25" spans="13:15">
      <c r="M281" s="44">
        <v>2702</v>
      </c>
      <c r="N281" s="109">
        <v>0.06</v>
      </c>
      <c r="O281" s="110" t="s">
        <v>966</v>
      </c>
    </row>
    <row r="282" ht="14.25" spans="13:15">
      <c r="M282" s="44">
        <v>2703</v>
      </c>
      <c r="N282" s="109">
        <v>0.06</v>
      </c>
      <c r="O282" s="110" t="s">
        <v>967</v>
      </c>
    </row>
    <row r="283" ht="14.25" spans="13:15">
      <c r="M283" s="44">
        <v>1046</v>
      </c>
      <c r="N283" s="109">
        <v>0.06</v>
      </c>
      <c r="O283" s="110" t="s">
        <v>968</v>
      </c>
    </row>
    <row r="284" ht="14.25" spans="13:15">
      <c r="M284" s="44">
        <v>1047</v>
      </c>
      <c r="N284" s="109">
        <v>0.06</v>
      </c>
      <c r="O284" s="110" t="s">
        <v>969</v>
      </c>
    </row>
    <row r="285" ht="14.25" spans="13:15">
      <c r="M285" s="44">
        <v>1049</v>
      </c>
      <c r="N285" s="109">
        <v>0.06</v>
      </c>
      <c r="O285" s="110" t="s">
        <v>970</v>
      </c>
    </row>
    <row r="286" ht="14.25" spans="13:15">
      <c r="M286" s="44">
        <v>1052</v>
      </c>
      <c r="N286" s="109">
        <v>0.06</v>
      </c>
      <c r="O286" s="110" t="s">
        <v>971</v>
      </c>
    </row>
    <row r="287" ht="14.25" spans="13:15">
      <c r="M287" s="44">
        <v>2962</v>
      </c>
      <c r="N287" s="109">
        <v>0.06</v>
      </c>
      <c r="O287" s="110" t="s">
        <v>972</v>
      </c>
    </row>
    <row r="288" ht="14.25" spans="13:15">
      <c r="M288" s="44">
        <v>3158</v>
      </c>
      <c r="N288" s="109">
        <v>0.06</v>
      </c>
      <c r="O288" s="110" t="s">
        <v>973</v>
      </c>
    </row>
    <row r="289" ht="14.25" spans="13:15">
      <c r="M289" s="44">
        <v>1085</v>
      </c>
      <c r="N289" s="109">
        <v>0.06</v>
      </c>
      <c r="O289" s="110" t="s">
        <v>974</v>
      </c>
    </row>
    <row r="290" ht="14.25" spans="13:15">
      <c r="M290" s="44">
        <v>1086</v>
      </c>
      <c r="N290" s="109">
        <v>0.06</v>
      </c>
      <c r="O290" s="110" t="s">
        <v>975</v>
      </c>
    </row>
    <row r="291" ht="14.25" spans="13:15">
      <c r="M291" s="44">
        <v>2673</v>
      </c>
      <c r="N291" s="109">
        <v>0</v>
      </c>
      <c r="O291" s="110" t="s">
        <v>976</v>
      </c>
    </row>
    <row r="292" ht="14.25" spans="13:15">
      <c r="M292" s="44">
        <v>1060</v>
      </c>
      <c r="N292" s="109">
        <v>0.06</v>
      </c>
      <c r="O292" s="110" t="s">
        <v>977</v>
      </c>
    </row>
    <row r="293" ht="14.25" spans="13:15">
      <c r="M293" s="44">
        <v>3159</v>
      </c>
      <c r="N293" s="109">
        <v>0.06</v>
      </c>
      <c r="O293" s="110" t="s">
        <v>978</v>
      </c>
    </row>
    <row r="294" ht="14.25" spans="13:15">
      <c r="M294" s="44">
        <v>3160</v>
      </c>
      <c r="N294" s="109">
        <v>0.06</v>
      </c>
      <c r="O294" s="110" t="s">
        <v>979</v>
      </c>
    </row>
    <row r="295" ht="14.25" spans="13:15">
      <c r="M295" s="44">
        <v>3161</v>
      </c>
      <c r="N295" s="109">
        <v>0.06</v>
      </c>
      <c r="O295" s="110" t="s">
        <v>980</v>
      </c>
    </row>
    <row r="296" ht="14.25" spans="13:15">
      <c r="M296" s="44">
        <v>2705</v>
      </c>
      <c r="N296" s="109">
        <v>0.06</v>
      </c>
      <c r="O296" s="110" t="s">
        <v>981</v>
      </c>
    </row>
    <row r="297" ht="14.25" spans="13:15">
      <c r="M297" s="44">
        <v>1074</v>
      </c>
      <c r="N297" s="109">
        <v>0.06</v>
      </c>
      <c r="O297" s="110" t="s">
        <v>982</v>
      </c>
    </row>
    <row r="298" ht="14.25" spans="13:15">
      <c r="M298" s="44">
        <v>1075</v>
      </c>
      <c r="N298" s="109">
        <v>0.06</v>
      </c>
      <c r="O298" s="110" t="s">
        <v>983</v>
      </c>
    </row>
    <row r="299" ht="14.25" spans="13:15">
      <c r="M299" s="44">
        <v>1968</v>
      </c>
      <c r="N299" s="109">
        <v>0.06</v>
      </c>
      <c r="O299" s="110" t="s">
        <v>984</v>
      </c>
    </row>
    <row r="300" ht="14.25" spans="13:15">
      <c r="M300" s="44">
        <v>1165</v>
      </c>
      <c r="N300" s="109">
        <v>0.06</v>
      </c>
      <c r="O300" s="110" t="s">
        <v>985</v>
      </c>
    </row>
    <row r="301" ht="14.25" spans="13:15">
      <c r="M301" s="44">
        <v>1166</v>
      </c>
      <c r="N301" s="109">
        <v>0.06</v>
      </c>
      <c r="O301" s="110" t="s">
        <v>986</v>
      </c>
    </row>
    <row r="302" ht="14.25" spans="13:15">
      <c r="M302" s="44">
        <v>1080</v>
      </c>
      <c r="N302" s="109">
        <v>0.06</v>
      </c>
      <c r="O302" s="110" t="s">
        <v>987</v>
      </c>
    </row>
    <row r="303" ht="14.25" spans="13:15">
      <c r="M303" s="44">
        <v>1081</v>
      </c>
      <c r="N303" s="109">
        <v>0.06</v>
      </c>
      <c r="O303" s="110" t="s">
        <v>988</v>
      </c>
    </row>
    <row r="304" ht="14.25" spans="13:15">
      <c r="M304" s="44">
        <v>2683</v>
      </c>
      <c r="N304" s="109">
        <v>0.06</v>
      </c>
      <c r="O304" s="110" t="s">
        <v>989</v>
      </c>
    </row>
    <row r="305" ht="14.25" spans="13:15">
      <c r="M305" s="44">
        <v>1969</v>
      </c>
      <c r="N305" s="109">
        <v>0.06</v>
      </c>
      <c r="O305" s="110" t="s">
        <v>990</v>
      </c>
    </row>
    <row r="306" ht="14.25" spans="13:15">
      <c r="M306" s="44">
        <v>1186</v>
      </c>
      <c r="N306" s="109">
        <v>0.06</v>
      </c>
      <c r="O306" s="110" t="s">
        <v>991</v>
      </c>
    </row>
    <row r="307" ht="14.25" spans="13:15">
      <c r="M307" s="44">
        <v>1187</v>
      </c>
      <c r="N307" s="109">
        <v>0.06</v>
      </c>
      <c r="O307" s="110" t="s">
        <v>992</v>
      </c>
    </row>
    <row r="308" ht="14.25" spans="13:15">
      <c r="M308" s="44">
        <v>1094</v>
      </c>
      <c r="N308" s="109">
        <v>0.06</v>
      </c>
      <c r="O308" s="110" t="s">
        <v>993</v>
      </c>
    </row>
    <row r="309" ht="14.25" spans="13:15">
      <c r="M309" s="44">
        <v>1095</v>
      </c>
      <c r="N309" s="109">
        <v>0.06</v>
      </c>
      <c r="O309" s="110" t="s">
        <v>994</v>
      </c>
    </row>
    <row r="310" ht="14.25" spans="13:15">
      <c r="M310" s="44">
        <v>1970</v>
      </c>
      <c r="N310" s="109">
        <v>0.06</v>
      </c>
      <c r="O310" s="110" t="s">
        <v>995</v>
      </c>
    </row>
    <row r="311" ht="14.25" spans="13:15">
      <c r="M311" s="44">
        <v>1097</v>
      </c>
      <c r="N311" s="109">
        <v>0.06</v>
      </c>
      <c r="O311" s="110" t="s">
        <v>996</v>
      </c>
    </row>
    <row r="312" ht="14.25" spans="13:15">
      <c r="M312" s="44">
        <v>1098</v>
      </c>
      <c r="N312" s="109">
        <v>0.06</v>
      </c>
      <c r="O312" s="110" t="s">
        <v>997</v>
      </c>
    </row>
    <row r="313" ht="14.25" spans="13:15">
      <c r="M313" s="44">
        <v>3162</v>
      </c>
      <c r="N313" s="109">
        <v>0</v>
      </c>
      <c r="O313" s="110" t="s">
        <v>998</v>
      </c>
    </row>
    <row r="314" ht="14.25" spans="13:15">
      <c r="M314" s="44">
        <v>1099</v>
      </c>
      <c r="N314" s="109">
        <v>0</v>
      </c>
      <c r="O314" s="110" t="s">
        <v>999</v>
      </c>
    </row>
    <row r="315" ht="14.25" spans="13:15">
      <c r="M315" s="44">
        <v>1088</v>
      </c>
      <c r="N315" s="109">
        <v>0.06</v>
      </c>
      <c r="O315" s="110" t="s">
        <v>1000</v>
      </c>
    </row>
    <row r="316" ht="14.25" spans="13:15">
      <c r="M316" s="44">
        <v>1089</v>
      </c>
      <c r="N316" s="109">
        <v>0.06</v>
      </c>
      <c r="O316" s="110" t="s">
        <v>1001</v>
      </c>
    </row>
    <row r="317" ht="14.25" spans="13:15">
      <c r="M317" s="44">
        <v>1065</v>
      </c>
      <c r="N317" s="109">
        <v>0.06</v>
      </c>
      <c r="O317" s="110" t="s">
        <v>1002</v>
      </c>
    </row>
    <row r="318" ht="14.25" spans="13:15">
      <c r="M318" s="44">
        <v>1063</v>
      </c>
      <c r="N318" s="109">
        <v>0.06</v>
      </c>
      <c r="O318" s="110" t="s">
        <v>1003</v>
      </c>
    </row>
    <row r="319" ht="14.25" spans="13:15">
      <c r="M319" s="44">
        <v>1064</v>
      </c>
      <c r="N319" s="109">
        <v>0.06</v>
      </c>
      <c r="O319" s="110" t="s">
        <v>1004</v>
      </c>
    </row>
    <row r="320" ht="14.25" spans="13:15">
      <c r="M320" s="44">
        <v>1082</v>
      </c>
      <c r="N320" s="109">
        <v>0.06</v>
      </c>
      <c r="O320" s="110" t="s">
        <v>1005</v>
      </c>
    </row>
    <row r="321" ht="14.25" spans="13:15">
      <c r="M321" s="44">
        <v>1192</v>
      </c>
      <c r="N321" s="109">
        <v>0.06</v>
      </c>
      <c r="O321" s="110" t="s">
        <v>1006</v>
      </c>
    </row>
    <row r="322" ht="14.25" spans="13:15">
      <c r="M322" s="44">
        <v>1108</v>
      </c>
      <c r="N322" s="109">
        <v>0.06</v>
      </c>
      <c r="O322" s="110" t="s">
        <v>1007</v>
      </c>
    </row>
    <row r="323" ht="14.25" spans="13:15">
      <c r="M323" s="44">
        <v>2944</v>
      </c>
      <c r="N323" s="109">
        <v>0.06</v>
      </c>
      <c r="O323" s="110" t="s">
        <v>1008</v>
      </c>
    </row>
    <row r="324" ht="14.25" spans="13:15">
      <c r="M324" s="44">
        <v>1119</v>
      </c>
      <c r="N324" s="109">
        <v>0.06</v>
      </c>
      <c r="O324" s="110" t="s">
        <v>1009</v>
      </c>
    </row>
    <row r="325" ht="14.25" spans="13:15">
      <c r="M325" s="44">
        <v>1159</v>
      </c>
      <c r="N325" s="109">
        <v>0.06</v>
      </c>
      <c r="O325" s="110" t="s">
        <v>1010</v>
      </c>
    </row>
    <row r="326" ht="14.25" spans="13:15">
      <c r="M326" s="44">
        <v>1160</v>
      </c>
      <c r="N326" s="109">
        <v>0.06</v>
      </c>
      <c r="O326" s="110" t="s">
        <v>1011</v>
      </c>
    </row>
    <row r="327" ht="14.25" spans="13:15">
      <c r="M327" s="44">
        <v>3163</v>
      </c>
      <c r="N327" s="109">
        <v>0.06</v>
      </c>
      <c r="O327" s="110" t="s">
        <v>1012</v>
      </c>
    </row>
    <row r="328" ht="14.25" spans="13:15">
      <c r="M328" s="44">
        <v>3164</v>
      </c>
      <c r="N328" s="109">
        <v>0.06</v>
      </c>
      <c r="O328" s="110" t="s">
        <v>1013</v>
      </c>
    </row>
    <row r="329" ht="14.25" spans="13:15">
      <c r="M329" s="44">
        <v>2305</v>
      </c>
      <c r="N329" s="109">
        <v>0.06</v>
      </c>
      <c r="O329" s="110" t="s">
        <v>1014</v>
      </c>
    </row>
    <row r="330" ht="14.25" spans="13:15">
      <c r="M330" s="44">
        <v>1125</v>
      </c>
      <c r="N330" s="109">
        <v>0.06</v>
      </c>
      <c r="O330" s="110" t="s">
        <v>1015</v>
      </c>
    </row>
    <row r="331" ht="14.25" spans="13:15">
      <c r="M331" s="44">
        <v>1126</v>
      </c>
      <c r="N331" s="109">
        <v>0.06</v>
      </c>
      <c r="O331" s="110" t="s">
        <v>1016</v>
      </c>
    </row>
    <row r="332" ht="14.25" spans="13:15">
      <c r="M332" s="44">
        <v>3047</v>
      </c>
      <c r="N332" s="109" t="s">
        <v>1017</v>
      </c>
      <c r="O332" s="110" t="s">
        <v>1018</v>
      </c>
    </row>
    <row r="333" ht="14.25" spans="13:15">
      <c r="M333" s="44">
        <v>3048</v>
      </c>
      <c r="N333" s="109" t="s">
        <v>1017</v>
      </c>
      <c r="O333" s="110" t="s">
        <v>1019</v>
      </c>
    </row>
    <row r="334" ht="14.25" spans="13:15">
      <c r="M334" s="44">
        <v>3049</v>
      </c>
      <c r="N334" s="109" t="s">
        <v>1017</v>
      </c>
      <c r="O334" s="110" t="s">
        <v>1020</v>
      </c>
    </row>
    <row r="335" ht="14.25" spans="13:15">
      <c r="M335" s="44">
        <v>3050</v>
      </c>
      <c r="N335" s="109" t="s">
        <v>1017</v>
      </c>
      <c r="O335" s="110" t="s">
        <v>1021</v>
      </c>
    </row>
    <row r="336" ht="14.25" spans="13:15">
      <c r="M336" s="44">
        <v>3051</v>
      </c>
      <c r="N336" s="109" t="s">
        <v>1017</v>
      </c>
      <c r="O336" s="110" t="s">
        <v>1022</v>
      </c>
    </row>
    <row r="337" ht="14.25" spans="13:15">
      <c r="M337" s="44">
        <v>1123</v>
      </c>
      <c r="N337" s="109">
        <v>0.06</v>
      </c>
      <c r="O337" s="110" t="s">
        <v>1023</v>
      </c>
    </row>
    <row r="338" ht="14.25" spans="13:15">
      <c r="M338" s="44">
        <v>1124</v>
      </c>
      <c r="N338" s="109">
        <v>0.06</v>
      </c>
      <c r="O338" s="110" t="s">
        <v>1024</v>
      </c>
    </row>
    <row r="339" ht="14.25" spans="13:15">
      <c r="M339" s="44">
        <v>2726</v>
      </c>
      <c r="N339" s="109">
        <v>0.06</v>
      </c>
      <c r="O339" s="110" t="s">
        <v>1025</v>
      </c>
    </row>
    <row r="340" ht="14.25" spans="13:15">
      <c r="M340" s="44">
        <v>2728</v>
      </c>
      <c r="N340" s="109">
        <v>0.06</v>
      </c>
      <c r="O340" s="110" t="s">
        <v>1026</v>
      </c>
    </row>
    <row r="341" ht="14.25" spans="13:15">
      <c r="M341" s="44">
        <v>2729</v>
      </c>
      <c r="N341" s="109">
        <v>0.06</v>
      </c>
      <c r="O341" s="110" t="s">
        <v>1027</v>
      </c>
    </row>
    <row r="342" ht="14.25" spans="13:15">
      <c r="M342" s="44">
        <v>3228</v>
      </c>
      <c r="N342" s="109">
        <v>0.06</v>
      </c>
      <c r="O342" s="110" t="s">
        <v>1028</v>
      </c>
    </row>
    <row r="343" ht="14.25" spans="13:15">
      <c r="M343" s="44">
        <v>1134</v>
      </c>
      <c r="N343" s="109">
        <v>0.06</v>
      </c>
      <c r="O343" s="110" t="s">
        <v>1029</v>
      </c>
    </row>
    <row r="344" ht="14.25" spans="13:15">
      <c r="M344" s="44">
        <v>1136</v>
      </c>
      <c r="N344" s="109">
        <v>0.06</v>
      </c>
      <c r="O344" s="110" t="s">
        <v>1030</v>
      </c>
    </row>
    <row r="345" ht="14.25" spans="13:15">
      <c r="M345" s="44">
        <v>1137</v>
      </c>
      <c r="N345" s="109">
        <v>0.06</v>
      </c>
      <c r="O345" s="110" t="s">
        <v>1031</v>
      </c>
    </row>
    <row r="346" ht="14.25" spans="13:15">
      <c r="M346" s="44">
        <v>1139</v>
      </c>
      <c r="N346" s="109">
        <v>0.06</v>
      </c>
      <c r="O346" s="110" t="s">
        <v>1032</v>
      </c>
    </row>
    <row r="347" ht="14.25" spans="13:15">
      <c r="M347" s="44">
        <v>1141</v>
      </c>
      <c r="N347" s="109">
        <v>0.06</v>
      </c>
      <c r="O347" s="110" t="s">
        <v>1033</v>
      </c>
    </row>
    <row r="348" ht="14.25" spans="13:15">
      <c r="M348" s="44">
        <v>1142</v>
      </c>
      <c r="N348" s="109">
        <v>0.06</v>
      </c>
      <c r="O348" s="110" t="s">
        <v>1034</v>
      </c>
    </row>
    <row r="349" ht="14.25" spans="13:15">
      <c r="M349" s="44">
        <v>1144</v>
      </c>
      <c r="N349" s="109">
        <v>0.06</v>
      </c>
      <c r="O349" s="110" t="s">
        <v>1035</v>
      </c>
    </row>
    <row r="350" ht="14.25" spans="13:15">
      <c r="M350" s="44">
        <v>1146</v>
      </c>
      <c r="N350" s="109">
        <v>0.06</v>
      </c>
      <c r="O350" s="110" t="s">
        <v>1036</v>
      </c>
    </row>
    <row r="351" ht="14.25" spans="13:15">
      <c r="M351" s="44">
        <v>1147</v>
      </c>
      <c r="N351" s="109">
        <v>0.06</v>
      </c>
      <c r="O351" s="110" t="s">
        <v>1037</v>
      </c>
    </row>
    <row r="352" ht="14.25" spans="13:15">
      <c r="M352" s="44">
        <v>1149</v>
      </c>
      <c r="N352" s="109">
        <v>0.06</v>
      </c>
      <c r="O352" s="110" t="s">
        <v>1038</v>
      </c>
    </row>
    <row r="353" ht="14.25" spans="13:15">
      <c r="M353" s="44">
        <v>1150</v>
      </c>
      <c r="N353" s="109">
        <v>0.06</v>
      </c>
      <c r="O353" s="110" t="s">
        <v>1039</v>
      </c>
    </row>
    <row r="354" ht="14.25" spans="13:15">
      <c r="M354" s="44">
        <v>1111</v>
      </c>
      <c r="N354" s="109">
        <v>0.06</v>
      </c>
      <c r="O354" s="110" t="s">
        <v>1040</v>
      </c>
    </row>
    <row r="355" ht="14.25" spans="13:15">
      <c r="M355" s="44">
        <v>1112</v>
      </c>
      <c r="N355" s="109">
        <v>0.06</v>
      </c>
      <c r="O355" s="110" t="s">
        <v>1041</v>
      </c>
    </row>
    <row r="356" ht="14.25" spans="13:15">
      <c r="M356" s="44">
        <v>1114</v>
      </c>
      <c r="N356" s="109">
        <v>0.06</v>
      </c>
      <c r="O356" s="110" t="s">
        <v>1042</v>
      </c>
    </row>
    <row r="357" ht="14.25" spans="13:15">
      <c r="M357" s="44">
        <v>1115</v>
      </c>
      <c r="N357" s="109">
        <v>0.06</v>
      </c>
      <c r="O357" s="110" t="s">
        <v>1043</v>
      </c>
    </row>
    <row r="358" ht="14.25" spans="13:15">
      <c r="M358" s="44">
        <v>1155</v>
      </c>
      <c r="N358" s="109">
        <v>0.06</v>
      </c>
      <c r="O358" s="110" t="s">
        <v>1044</v>
      </c>
    </row>
    <row r="359" ht="14.25" spans="13:15">
      <c r="M359" s="44">
        <v>1156</v>
      </c>
      <c r="N359" s="109">
        <v>0.06</v>
      </c>
      <c r="O359" s="110" t="s">
        <v>1045</v>
      </c>
    </row>
    <row r="360" ht="14.25" spans="13:15">
      <c r="M360" s="44">
        <v>1117</v>
      </c>
      <c r="N360" s="109">
        <v>0.06</v>
      </c>
      <c r="O360" s="110" t="s">
        <v>1046</v>
      </c>
    </row>
    <row r="361" ht="14.25" spans="13:15">
      <c r="M361" s="44">
        <v>1118</v>
      </c>
      <c r="N361" s="109">
        <v>0.06</v>
      </c>
      <c r="O361" s="110" t="s">
        <v>1047</v>
      </c>
    </row>
    <row r="362" ht="14.25" spans="13:15">
      <c r="M362" s="44">
        <v>1162</v>
      </c>
      <c r="N362" s="109">
        <v>0.06</v>
      </c>
      <c r="O362" s="110" t="s">
        <v>1048</v>
      </c>
    </row>
    <row r="363" ht="14.25" spans="13:15">
      <c r="M363" s="44">
        <v>1163</v>
      </c>
      <c r="N363" s="109">
        <v>0.06</v>
      </c>
      <c r="O363" s="110" t="s">
        <v>1049</v>
      </c>
    </row>
    <row r="364" ht="14.25" spans="13:15">
      <c r="M364" s="44">
        <v>1152</v>
      </c>
      <c r="N364" s="109">
        <v>0.06</v>
      </c>
      <c r="O364" s="110" t="s">
        <v>1050</v>
      </c>
    </row>
    <row r="365" ht="14.25" spans="13:15">
      <c r="M365" s="44">
        <v>1153</v>
      </c>
      <c r="N365" s="109">
        <v>0.06</v>
      </c>
      <c r="O365" s="110" t="s">
        <v>1051</v>
      </c>
    </row>
    <row r="366" ht="14.25" spans="13:15">
      <c r="M366" s="44">
        <v>1127</v>
      </c>
      <c r="N366" s="109">
        <v>0.06</v>
      </c>
      <c r="O366" s="110" t="s">
        <v>1052</v>
      </c>
    </row>
    <row r="367" ht="14.25" spans="13:15">
      <c r="M367" s="44">
        <v>1129</v>
      </c>
      <c r="N367" s="109">
        <v>0.06</v>
      </c>
      <c r="O367" s="110" t="s">
        <v>1053</v>
      </c>
    </row>
    <row r="368" ht="14.25" spans="13:15">
      <c r="M368" s="44">
        <v>1130</v>
      </c>
      <c r="N368" s="109">
        <v>0.06</v>
      </c>
      <c r="O368" s="110" t="s">
        <v>1054</v>
      </c>
    </row>
    <row r="369" ht="14.25" spans="13:15">
      <c r="M369" s="44">
        <v>2868</v>
      </c>
      <c r="N369" s="109">
        <v>0.06</v>
      </c>
      <c r="O369" s="110" t="s">
        <v>1055</v>
      </c>
    </row>
    <row r="370" ht="14.25" spans="13:15">
      <c r="M370" s="44">
        <v>2889</v>
      </c>
      <c r="N370" s="109">
        <v>0.06</v>
      </c>
      <c r="O370" s="110" t="s">
        <v>1056</v>
      </c>
    </row>
    <row r="371" ht="14.25" spans="13:15">
      <c r="M371" s="44">
        <v>2890</v>
      </c>
      <c r="N371" s="109">
        <v>0.06</v>
      </c>
      <c r="O371" s="110" t="s">
        <v>1057</v>
      </c>
    </row>
    <row r="372" ht="14.25" spans="13:15">
      <c r="M372" s="44">
        <v>1204</v>
      </c>
      <c r="N372" s="109" t="s">
        <v>1058</v>
      </c>
      <c r="O372" s="110" t="s">
        <v>1059</v>
      </c>
    </row>
    <row r="373" ht="14.25" spans="13:15">
      <c r="M373" s="44">
        <v>1205</v>
      </c>
      <c r="N373" s="109">
        <v>0.09</v>
      </c>
      <c r="O373" s="110" t="s">
        <v>1060</v>
      </c>
    </row>
    <row r="374" ht="14.25" spans="13:15">
      <c r="M374" s="44">
        <v>1206</v>
      </c>
      <c r="N374" s="109" t="s">
        <v>1061</v>
      </c>
      <c r="O374" s="110" t="s">
        <v>1062</v>
      </c>
    </row>
    <row r="375" ht="14.25" spans="13:15">
      <c r="M375" s="44">
        <v>2700</v>
      </c>
      <c r="N375" s="109">
        <v>0.06</v>
      </c>
      <c r="O375" s="110" t="s">
        <v>1063</v>
      </c>
    </row>
    <row r="376" ht="14.25" spans="13:15">
      <c r="M376" s="44">
        <v>2701</v>
      </c>
      <c r="N376" s="109" t="s">
        <v>1061</v>
      </c>
      <c r="O376" s="110" t="s">
        <v>1064</v>
      </c>
    </row>
    <row r="377" ht="14.25" spans="13:15">
      <c r="M377" s="44">
        <v>1208</v>
      </c>
      <c r="N377" s="109" t="s">
        <v>1061</v>
      </c>
      <c r="O377" s="110" t="s">
        <v>1065</v>
      </c>
    </row>
    <row r="378" ht="14.25" spans="13:15">
      <c r="M378" s="44">
        <v>1210</v>
      </c>
      <c r="N378" s="109">
        <v>0.09</v>
      </c>
      <c r="O378" s="110" t="s">
        <v>1066</v>
      </c>
    </row>
    <row r="379" ht="14.25" spans="13:15">
      <c r="M379" s="44">
        <v>1211</v>
      </c>
      <c r="N379" s="109">
        <v>0.06</v>
      </c>
      <c r="O379" s="110" t="s">
        <v>1067</v>
      </c>
    </row>
    <row r="380" ht="14.25" spans="13:15">
      <c r="M380" s="44">
        <v>1212</v>
      </c>
      <c r="N380" s="109">
        <v>0.06</v>
      </c>
      <c r="O380" s="110" t="s">
        <v>1068</v>
      </c>
    </row>
    <row r="381" ht="14.25" spans="13:15">
      <c r="M381" s="44">
        <v>1213</v>
      </c>
      <c r="N381" s="109">
        <v>0.06</v>
      </c>
      <c r="O381" s="110" t="s">
        <v>1069</v>
      </c>
    </row>
    <row r="382" ht="14.25" spans="13:15">
      <c r="M382" s="44">
        <v>1183</v>
      </c>
      <c r="N382" s="109">
        <v>0.06</v>
      </c>
      <c r="O382" s="110" t="s">
        <v>1070</v>
      </c>
    </row>
    <row r="383" ht="14.25" spans="13:15">
      <c r="M383" s="44">
        <v>1184</v>
      </c>
      <c r="N383" s="109">
        <v>0.06</v>
      </c>
      <c r="O383" s="110" t="s">
        <v>1071</v>
      </c>
    </row>
    <row r="384" ht="14.25" spans="13:15">
      <c r="M384" s="44">
        <v>1188</v>
      </c>
      <c r="N384" s="109">
        <v>0.06</v>
      </c>
      <c r="O384" s="110" t="s">
        <v>1072</v>
      </c>
    </row>
    <row r="385" ht="14.25" spans="13:15">
      <c r="M385" s="44">
        <v>1195</v>
      </c>
      <c r="N385" s="109">
        <v>0.06</v>
      </c>
      <c r="O385" s="110" t="s">
        <v>1073</v>
      </c>
    </row>
    <row r="386" ht="14.25" spans="13:15">
      <c r="M386" s="44">
        <v>1420</v>
      </c>
      <c r="N386" s="109">
        <v>0.06</v>
      </c>
      <c r="O386" s="110" t="s">
        <v>1074</v>
      </c>
    </row>
    <row r="387" ht="14.25" spans="13:15">
      <c r="M387" s="44">
        <v>1214</v>
      </c>
      <c r="N387" s="109" t="s">
        <v>1075</v>
      </c>
      <c r="O387" s="110" t="s">
        <v>1076</v>
      </c>
    </row>
    <row r="388" ht="14.25" spans="13:15">
      <c r="M388" s="44">
        <v>1222</v>
      </c>
      <c r="N388" s="109">
        <v>0.09</v>
      </c>
      <c r="O388" s="110" t="s">
        <v>1077</v>
      </c>
    </row>
    <row r="389" ht="14.25" spans="13:15">
      <c r="M389" s="44">
        <v>1227</v>
      </c>
      <c r="N389" s="109">
        <v>0.09</v>
      </c>
      <c r="O389" s="110" t="s">
        <v>1078</v>
      </c>
    </row>
    <row r="390" ht="14.25" spans="13:15">
      <c r="M390" s="44">
        <v>1228</v>
      </c>
      <c r="N390" s="109">
        <v>0.09</v>
      </c>
      <c r="O390" s="110" t="s">
        <v>1079</v>
      </c>
    </row>
    <row r="391" ht="14.25" spans="13:15">
      <c r="M391" s="44">
        <v>1229</v>
      </c>
      <c r="N391" s="109">
        <v>0.09</v>
      </c>
      <c r="O391" s="110" t="s">
        <v>1080</v>
      </c>
    </row>
    <row r="392" ht="14.25" spans="13:15">
      <c r="M392" s="44">
        <v>3165</v>
      </c>
      <c r="N392" s="109">
        <v>0.09</v>
      </c>
      <c r="O392" s="110" t="s">
        <v>1081</v>
      </c>
    </row>
    <row r="393" ht="14.25" spans="13:15">
      <c r="M393" s="44">
        <v>1234</v>
      </c>
      <c r="N393" s="109">
        <v>0.09</v>
      </c>
      <c r="O393" s="110" t="s">
        <v>1082</v>
      </c>
    </row>
    <row r="394" ht="14.25" spans="13:15">
      <c r="M394" s="44">
        <v>1237</v>
      </c>
      <c r="N394" s="109">
        <v>0.09</v>
      </c>
      <c r="O394" s="110" t="s">
        <v>1083</v>
      </c>
    </row>
    <row r="395" ht="14.25" spans="13:15">
      <c r="M395" s="44">
        <v>1238</v>
      </c>
      <c r="N395" s="109">
        <v>0.09</v>
      </c>
      <c r="O395" s="110" t="s">
        <v>1084</v>
      </c>
    </row>
    <row r="396" ht="14.25" spans="13:15">
      <c r="M396" s="44">
        <v>1239</v>
      </c>
      <c r="N396" s="109">
        <v>0.09</v>
      </c>
      <c r="O396" s="110" t="s">
        <v>1085</v>
      </c>
    </row>
    <row r="397" ht="14.25" spans="13:15">
      <c r="M397" s="44">
        <v>1243</v>
      </c>
      <c r="N397" s="109">
        <v>0.09</v>
      </c>
      <c r="O397" s="110" t="s">
        <v>1086</v>
      </c>
    </row>
    <row r="398" ht="14.25" spans="13:15">
      <c r="M398" s="44">
        <v>1244</v>
      </c>
      <c r="N398" s="109">
        <v>0.09</v>
      </c>
      <c r="O398" s="110" t="s">
        <v>1087</v>
      </c>
    </row>
    <row r="399" ht="14.25" spans="13:15">
      <c r="M399" s="44">
        <v>1971</v>
      </c>
      <c r="N399" s="109">
        <v>0.09</v>
      </c>
      <c r="O399" s="110" t="s">
        <v>1088</v>
      </c>
    </row>
    <row r="400" ht="14.25" spans="13:15">
      <c r="M400" s="44">
        <v>1246</v>
      </c>
      <c r="N400" s="109">
        <v>0.09</v>
      </c>
      <c r="O400" s="110" t="s">
        <v>1089</v>
      </c>
    </row>
    <row r="401" ht="14.25" spans="13:15">
      <c r="M401" s="44">
        <v>1247</v>
      </c>
      <c r="N401" s="109">
        <v>0.09</v>
      </c>
      <c r="O401" s="110" t="s">
        <v>1090</v>
      </c>
    </row>
    <row r="402" ht="14.25" spans="13:15">
      <c r="M402" s="44">
        <v>1972</v>
      </c>
      <c r="N402" s="109">
        <v>0.09</v>
      </c>
      <c r="O402" s="110" t="s">
        <v>1091</v>
      </c>
    </row>
    <row r="403" ht="14.25" spans="13:15">
      <c r="M403" s="44">
        <v>1248</v>
      </c>
      <c r="N403" s="109">
        <v>0</v>
      </c>
      <c r="O403" s="110" t="s">
        <v>1092</v>
      </c>
    </row>
    <row r="404" ht="14.25" spans="13:15">
      <c r="M404" s="44">
        <v>2963</v>
      </c>
      <c r="N404" s="109">
        <v>0.09</v>
      </c>
      <c r="O404" s="110" t="s">
        <v>1093</v>
      </c>
    </row>
    <row r="405" ht="14.25" spans="13:15">
      <c r="M405" s="44">
        <v>1251</v>
      </c>
      <c r="N405" s="109">
        <v>0.06</v>
      </c>
      <c r="O405" s="110" t="s">
        <v>1094</v>
      </c>
    </row>
    <row r="406" ht="14.25" spans="13:15">
      <c r="M406" s="44">
        <v>1252</v>
      </c>
      <c r="N406" s="109">
        <v>0.06</v>
      </c>
      <c r="O406" s="110" t="s">
        <v>1095</v>
      </c>
    </row>
    <row r="407" ht="14.25" spans="13:15">
      <c r="M407" s="44">
        <v>2734</v>
      </c>
      <c r="N407" s="109">
        <v>0.06</v>
      </c>
      <c r="O407" s="110" t="s">
        <v>1096</v>
      </c>
    </row>
    <row r="408" ht="14.25" spans="13:15">
      <c r="M408" s="44">
        <v>1290</v>
      </c>
      <c r="N408" s="109">
        <v>0.06</v>
      </c>
      <c r="O408" s="110" t="s">
        <v>1097</v>
      </c>
    </row>
    <row r="409" ht="14.25" spans="13:15">
      <c r="M409" s="44">
        <v>1306</v>
      </c>
      <c r="N409" s="109">
        <v>0.09</v>
      </c>
      <c r="O409" s="110" t="s">
        <v>1098</v>
      </c>
    </row>
    <row r="410" ht="14.25" spans="13:15">
      <c r="M410" s="44">
        <v>1307</v>
      </c>
      <c r="N410" s="109">
        <v>0.06</v>
      </c>
      <c r="O410" s="110" t="s">
        <v>1099</v>
      </c>
    </row>
    <row r="411" ht="14.25" spans="13:15">
      <c r="M411" s="44">
        <v>1309</v>
      </c>
      <c r="N411" s="109">
        <v>0.06</v>
      </c>
      <c r="O411" s="110" t="s">
        <v>1100</v>
      </c>
    </row>
    <row r="412" ht="14.25" spans="13:15">
      <c r="M412" s="44">
        <v>1310</v>
      </c>
      <c r="N412" s="109">
        <v>0.06</v>
      </c>
      <c r="O412" s="110" t="s">
        <v>1101</v>
      </c>
    </row>
    <row r="413" ht="14.25" spans="13:15">
      <c r="M413" s="44">
        <v>1311</v>
      </c>
      <c r="N413" s="109">
        <v>0.06</v>
      </c>
      <c r="O413" s="110" t="s">
        <v>1102</v>
      </c>
    </row>
    <row r="414" ht="14.25" spans="13:15">
      <c r="M414" s="44">
        <v>2699</v>
      </c>
      <c r="N414" s="109">
        <v>0.06</v>
      </c>
      <c r="O414" s="110" t="s">
        <v>1103</v>
      </c>
    </row>
    <row r="415" ht="14.25" spans="13:15">
      <c r="M415" s="44">
        <v>1313</v>
      </c>
      <c r="N415" s="109">
        <v>0.06</v>
      </c>
      <c r="O415" s="110" t="s">
        <v>1104</v>
      </c>
    </row>
    <row r="416" ht="14.25" spans="13:15">
      <c r="M416" s="44">
        <v>1315</v>
      </c>
      <c r="N416" s="109">
        <v>0.06</v>
      </c>
      <c r="O416" s="110" t="s">
        <v>1105</v>
      </c>
    </row>
    <row r="417" ht="14.25" spans="13:15">
      <c r="M417" s="44">
        <v>1316</v>
      </c>
      <c r="N417" s="109">
        <v>0.06</v>
      </c>
      <c r="O417" s="110" t="s">
        <v>1106</v>
      </c>
    </row>
    <row r="418" ht="14.25" spans="13:15">
      <c r="M418" s="44">
        <v>1784</v>
      </c>
      <c r="N418" s="109">
        <v>0.06</v>
      </c>
      <c r="O418" s="110" t="s">
        <v>1107</v>
      </c>
    </row>
    <row r="419" ht="14.25" spans="13:15">
      <c r="M419" s="44">
        <v>1785</v>
      </c>
      <c r="N419" s="109">
        <v>0.06</v>
      </c>
      <c r="O419" s="110" t="s">
        <v>1108</v>
      </c>
    </row>
    <row r="420" ht="14.25" spans="13:15">
      <c r="M420" s="44">
        <v>1321</v>
      </c>
      <c r="N420" s="109">
        <v>0.06</v>
      </c>
      <c r="O420" s="110" t="s">
        <v>1109</v>
      </c>
    </row>
    <row r="421" ht="14.25" spans="13:15">
      <c r="M421" s="44">
        <v>1322</v>
      </c>
      <c r="N421" s="109">
        <v>0.06</v>
      </c>
      <c r="O421" s="110" t="s">
        <v>1110</v>
      </c>
    </row>
    <row r="422" ht="14.25" spans="13:15">
      <c r="M422" s="44">
        <v>1323</v>
      </c>
      <c r="N422" s="109">
        <v>0.06</v>
      </c>
      <c r="O422" s="110" t="s">
        <v>1111</v>
      </c>
    </row>
    <row r="423" ht="14.25" spans="13:15">
      <c r="M423" s="44">
        <v>1324</v>
      </c>
      <c r="N423" s="109">
        <v>0.06</v>
      </c>
      <c r="O423" s="110" t="s">
        <v>1112</v>
      </c>
    </row>
    <row r="424" ht="14.25" spans="13:15">
      <c r="M424" s="44">
        <v>1326</v>
      </c>
      <c r="N424" s="109">
        <v>0.06</v>
      </c>
      <c r="O424" s="110" t="s">
        <v>1113</v>
      </c>
    </row>
    <row r="425" ht="14.25" spans="13:15">
      <c r="M425" s="44">
        <v>1327</v>
      </c>
      <c r="N425" s="109">
        <v>0.06</v>
      </c>
      <c r="O425" s="110" t="s">
        <v>1114</v>
      </c>
    </row>
    <row r="426" ht="14.25" spans="13:15">
      <c r="M426" s="44">
        <v>1328</v>
      </c>
      <c r="N426" s="109">
        <v>0.06</v>
      </c>
      <c r="O426" s="110" t="s">
        <v>1115</v>
      </c>
    </row>
    <row r="427" ht="14.25" spans="13:15">
      <c r="M427" s="44">
        <v>3042</v>
      </c>
      <c r="N427" s="109">
        <v>0.06</v>
      </c>
      <c r="O427" s="110" t="s">
        <v>1116</v>
      </c>
    </row>
    <row r="428" ht="14.25" spans="13:15">
      <c r="M428" s="44">
        <v>3043</v>
      </c>
      <c r="N428" s="109">
        <v>0.06</v>
      </c>
      <c r="O428" s="110" t="s">
        <v>1117</v>
      </c>
    </row>
    <row r="429" ht="14.25" spans="13:15">
      <c r="M429" s="44">
        <v>1329</v>
      </c>
      <c r="N429" s="109">
        <v>0.06</v>
      </c>
      <c r="O429" s="110" t="s">
        <v>1118</v>
      </c>
    </row>
    <row r="430" ht="14.25" spans="13:15">
      <c r="M430" s="44">
        <v>1400</v>
      </c>
      <c r="N430" s="109">
        <v>0</v>
      </c>
      <c r="O430" s="110" t="s">
        <v>1119</v>
      </c>
    </row>
    <row r="431" ht="14.25" spans="13:15">
      <c r="M431" s="44">
        <v>1401</v>
      </c>
      <c r="N431" s="109">
        <v>0</v>
      </c>
      <c r="O431" s="110" t="s">
        <v>1120</v>
      </c>
    </row>
    <row r="432" ht="14.25" spans="13:15">
      <c r="M432" s="44">
        <v>2557</v>
      </c>
      <c r="N432" s="109">
        <v>0.06</v>
      </c>
      <c r="O432" s="110" t="s">
        <v>1121</v>
      </c>
    </row>
    <row r="433" ht="14.25" spans="13:15">
      <c r="M433" s="44">
        <v>1302</v>
      </c>
      <c r="N433" s="109">
        <v>0.09</v>
      </c>
      <c r="O433" s="110" t="s">
        <v>1122</v>
      </c>
    </row>
    <row r="434" ht="14.25" spans="13:15">
      <c r="M434" s="44">
        <v>1395</v>
      </c>
      <c r="N434" s="109">
        <v>0.06</v>
      </c>
      <c r="O434" s="110" t="s">
        <v>1123</v>
      </c>
    </row>
    <row r="435" ht="14.25" spans="13:15">
      <c r="M435" s="44">
        <v>3229</v>
      </c>
      <c r="N435" s="109">
        <v>0.06</v>
      </c>
      <c r="O435" s="110" t="s">
        <v>1124</v>
      </c>
    </row>
    <row r="436" ht="14.25" spans="13:15">
      <c r="M436" s="44">
        <v>3230</v>
      </c>
      <c r="N436" s="109">
        <v>0.06</v>
      </c>
      <c r="O436" s="110" t="s">
        <v>1125</v>
      </c>
    </row>
    <row r="437" ht="14.25" spans="13:15">
      <c r="M437" s="44">
        <v>2737</v>
      </c>
      <c r="N437" s="109">
        <v>0.06</v>
      </c>
      <c r="O437" s="110" t="s">
        <v>1126</v>
      </c>
    </row>
    <row r="438" ht="14.25" spans="13:15">
      <c r="M438" s="44">
        <v>3167</v>
      </c>
      <c r="N438" s="109"/>
      <c r="O438" s="110" t="s">
        <v>1127</v>
      </c>
    </row>
    <row r="439" ht="14.25" spans="13:15">
      <c r="M439" s="44">
        <v>3168</v>
      </c>
      <c r="N439" s="109">
        <v>0.06</v>
      </c>
      <c r="O439" s="113" t="s">
        <v>1128</v>
      </c>
    </row>
    <row r="440" ht="14.25" spans="13:15">
      <c r="M440" s="44">
        <v>3169</v>
      </c>
      <c r="N440" s="109" t="s">
        <v>1129</v>
      </c>
      <c r="O440" s="113" t="s">
        <v>1130</v>
      </c>
    </row>
    <row r="441" ht="14.25" spans="13:15">
      <c r="M441" s="44">
        <v>1419</v>
      </c>
      <c r="N441" s="109">
        <v>0.06</v>
      </c>
      <c r="O441" s="110" t="s">
        <v>1131</v>
      </c>
    </row>
    <row r="442" ht="14.25" spans="13:15">
      <c r="M442" s="44">
        <v>1283</v>
      </c>
      <c r="N442" s="109">
        <v>0.06</v>
      </c>
      <c r="O442" s="110" t="s">
        <v>1132</v>
      </c>
    </row>
    <row r="443" ht="14.25" spans="13:15">
      <c r="M443" s="44">
        <v>1284</v>
      </c>
      <c r="N443" s="109">
        <v>0.06</v>
      </c>
      <c r="O443" s="110" t="s">
        <v>1133</v>
      </c>
    </row>
    <row r="444" ht="14.25" spans="13:15">
      <c r="M444" s="44">
        <v>2739</v>
      </c>
      <c r="N444" s="109">
        <v>0.06</v>
      </c>
      <c r="O444" s="110" t="s">
        <v>1134</v>
      </c>
    </row>
    <row r="445" ht="14.25" spans="13:15">
      <c r="M445" s="44">
        <v>1383</v>
      </c>
      <c r="N445" s="109">
        <v>0.06</v>
      </c>
      <c r="O445" s="110" t="s">
        <v>1135</v>
      </c>
    </row>
    <row r="446" ht="14.25" spans="13:15">
      <c r="M446" s="44">
        <v>1384</v>
      </c>
      <c r="N446" s="109">
        <v>0.06</v>
      </c>
      <c r="O446" s="110" t="s">
        <v>1136</v>
      </c>
    </row>
    <row r="447" ht="14.25" spans="13:15">
      <c r="M447" s="44">
        <v>2741</v>
      </c>
      <c r="N447" s="109">
        <v>0.06</v>
      </c>
      <c r="O447" s="110" t="s">
        <v>1137</v>
      </c>
    </row>
    <row r="448" ht="14.25" spans="13:15">
      <c r="M448" s="44">
        <v>1360</v>
      </c>
      <c r="N448" s="109"/>
      <c r="O448" s="110" t="s">
        <v>1138</v>
      </c>
    </row>
    <row r="449" ht="14.25" spans="13:15">
      <c r="M449" s="44">
        <v>1362</v>
      </c>
      <c r="N449" s="109">
        <v>0.06</v>
      </c>
      <c r="O449" s="110" t="s">
        <v>1139</v>
      </c>
    </row>
    <row r="450" ht="14.25" spans="13:15">
      <c r="M450" s="44">
        <v>1363</v>
      </c>
      <c r="N450" s="109">
        <v>0.06</v>
      </c>
      <c r="O450" s="110" t="s">
        <v>1140</v>
      </c>
    </row>
    <row r="451" ht="14.25" spans="13:15">
      <c r="M451" s="44">
        <v>2323</v>
      </c>
      <c r="N451" s="109"/>
      <c r="O451" s="110" t="s">
        <v>1141</v>
      </c>
    </row>
    <row r="452" ht="14.25" spans="13:15">
      <c r="M452" s="44">
        <v>2325</v>
      </c>
      <c r="N452" s="109">
        <v>0.06</v>
      </c>
      <c r="O452" s="110" t="s">
        <v>1142</v>
      </c>
    </row>
    <row r="453" ht="14.25" spans="13:15">
      <c r="M453" s="44">
        <v>2326</v>
      </c>
      <c r="N453" s="109">
        <v>0.06</v>
      </c>
      <c r="O453" s="110" t="s">
        <v>1143</v>
      </c>
    </row>
    <row r="454" ht="14.25" spans="13:15">
      <c r="M454" s="44">
        <v>1367</v>
      </c>
      <c r="N454" s="109"/>
      <c r="O454" s="110" t="s">
        <v>1144</v>
      </c>
    </row>
    <row r="455" ht="14.25" spans="13:15">
      <c r="M455" s="44">
        <v>1369</v>
      </c>
      <c r="N455" s="109">
        <v>0.06</v>
      </c>
      <c r="O455" s="110" t="s">
        <v>1145</v>
      </c>
    </row>
    <row r="456" ht="14.25" spans="13:15">
      <c r="M456" s="44">
        <v>1370</v>
      </c>
      <c r="N456" s="109">
        <v>0.06</v>
      </c>
      <c r="O456" s="110" t="s">
        <v>1146</v>
      </c>
    </row>
    <row r="457" ht="14.25" spans="13:15">
      <c r="M457" s="44">
        <v>1277</v>
      </c>
      <c r="N457" s="109">
        <v>0.06</v>
      </c>
      <c r="O457" s="110" t="s">
        <v>1147</v>
      </c>
    </row>
    <row r="458" ht="14.25" spans="13:15">
      <c r="M458" s="44">
        <v>1260</v>
      </c>
      <c r="N458" s="109">
        <v>0.06</v>
      </c>
      <c r="O458" s="110" t="s">
        <v>1148</v>
      </c>
    </row>
    <row r="459" ht="14.25" spans="13:15">
      <c r="M459" s="44">
        <v>1262</v>
      </c>
      <c r="N459" s="109">
        <v>0.06</v>
      </c>
      <c r="O459" s="110" t="s">
        <v>1149</v>
      </c>
    </row>
    <row r="460" ht="14.25" spans="13:15">
      <c r="M460" s="44">
        <v>1263</v>
      </c>
      <c r="N460" s="109">
        <v>0.06</v>
      </c>
      <c r="O460" s="110" t="s">
        <v>1150</v>
      </c>
    </row>
    <row r="461" ht="14.25" spans="13:15">
      <c r="M461" s="44">
        <v>1265</v>
      </c>
      <c r="N461" s="109">
        <v>0.06</v>
      </c>
      <c r="O461" s="110" t="s">
        <v>1151</v>
      </c>
    </row>
    <row r="462" ht="14.25" spans="13:15">
      <c r="M462" s="44">
        <v>1267</v>
      </c>
      <c r="N462" s="109">
        <v>0.06</v>
      </c>
      <c r="O462" s="110" t="s">
        <v>1152</v>
      </c>
    </row>
    <row r="463" ht="14.25" spans="13:15">
      <c r="M463" s="44">
        <v>1268</v>
      </c>
      <c r="N463" s="109">
        <v>0.06</v>
      </c>
      <c r="O463" s="110" t="s">
        <v>1153</v>
      </c>
    </row>
    <row r="464" ht="14.25" spans="13:15">
      <c r="M464" s="44">
        <v>1270</v>
      </c>
      <c r="N464" s="109">
        <v>0.06</v>
      </c>
      <c r="O464" s="110" t="s">
        <v>1154</v>
      </c>
    </row>
    <row r="465" ht="14.25" spans="13:15">
      <c r="M465" s="44">
        <v>1272</v>
      </c>
      <c r="N465" s="109">
        <v>0.06</v>
      </c>
      <c r="O465" s="110" t="s">
        <v>1155</v>
      </c>
    </row>
    <row r="466" ht="14.25" spans="13:15">
      <c r="M466" s="44">
        <v>1273</v>
      </c>
      <c r="N466" s="109">
        <v>0.06</v>
      </c>
      <c r="O466" s="110" t="s">
        <v>1156</v>
      </c>
    </row>
    <row r="467" ht="14.25" spans="13:15">
      <c r="M467" s="44">
        <v>1275</v>
      </c>
      <c r="N467" s="109">
        <v>0.06</v>
      </c>
      <c r="O467" s="110" t="s">
        <v>1157</v>
      </c>
    </row>
    <row r="468" ht="14.25" spans="13:15">
      <c r="M468" s="44">
        <v>1276</v>
      </c>
      <c r="N468" s="109">
        <v>0.06</v>
      </c>
      <c r="O468" s="110" t="s">
        <v>1158</v>
      </c>
    </row>
    <row r="469" ht="14.25" spans="13:15">
      <c r="M469" s="44">
        <v>1336</v>
      </c>
      <c r="N469" s="109"/>
      <c r="O469" s="110" t="s">
        <v>1159</v>
      </c>
    </row>
    <row r="470" ht="14.25" spans="13:15">
      <c r="M470" s="44">
        <v>1339</v>
      </c>
      <c r="N470" s="109">
        <v>0.06</v>
      </c>
      <c r="O470" s="110" t="s">
        <v>1160</v>
      </c>
    </row>
    <row r="471" ht="14.25" spans="13:15">
      <c r="M471" s="44">
        <v>1340</v>
      </c>
      <c r="N471" s="109">
        <v>0.06</v>
      </c>
      <c r="O471" s="110" t="s">
        <v>1161</v>
      </c>
    </row>
    <row r="472" ht="14.25" spans="13:15">
      <c r="M472" s="44">
        <v>1346</v>
      </c>
      <c r="N472" s="109">
        <v>0.06</v>
      </c>
      <c r="O472" s="110" t="s">
        <v>1162</v>
      </c>
    </row>
    <row r="473" ht="14.25" spans="13:15">
      <c r="M473" s="44">
        <v>1347</v>
      </c>
      <c r="N473" s="109">
        <v>0.06</v>
      </c>
      <c r="O473" s="110" t="s">
        <v>1163</v>
      </c>
    </row>
    <row r="474" ht="14.25" spans="13:15">
      <c r="M474" s="44">
        <v>1349</v>
      </c>
      <c r="N474" s="109">
        <v>0.06</v>
      </c>
      <c r="O474" s="110" t="s">
        <v>1164</v>
      </c>
    </row>
    <row r="475" ht="14.25" spans="13:15">
      <c r="M475" s="44">
        <v>1350</v>
      </c>
      <c r="N475" s="109">
        <v>0.06</v>
      </c>
      <c r="O475" s="110" t="s">
        <v>1165</v>
      </c>
    </row>
    <row r="476" ht="14.25" spans="13:15">
      <c r="M476" s="44">
        <v>2005</v>
      </c>
      <c r="N476" s="109">
        <v>0.06</v>
      </c>
      <c r="O476" s="110" t="s">
        <v>1166</v>
      </c>
    </row>
    <row r="477" ht="14.25" spans="13:15">
      <c r="M477" s="44">
        <v>2006</v>
      </c>
      <c r="N477" s="109">
        <v>0.06</v>
      </c>
      <c r="O477" s="110" t="s">
        <v>1167</v>
      </c>
    </row>
    <row r="478" ht="14.25" spans="13:15">
      <c r="M478" s="44">
        <v>2012</v>
      </c>
      <c r="N478" s="109">
        <v>0.06</v>
      </c>
      <c r="O478" s="110" t="s">
        <v>1168</v>
      </c>
    </row>
    <row r="479" ht="14.25" spans="13:15">
      <c r="M479" s="44">
        <v>2013</v>
      </c>
      <c r="N479" s="109">
        <v>0.06</v>
      </c>
      <c r="O479" s="110" t="s">
        <v>1169</v>
      </c>
    </row>
    <row r="480" ht="14.25" spans="13:15">
      <c r="M480" s="44">
        <v>2015</v>
      </c>
      <c r="N480" s="109">
        <v>0.06</v>
      </c>
      <c r="O480" s="110" t="s">
        <v>1170</v>
      </c>
    </row>
    <row r="481" ht="14.25" spans="13:15">
      <c r="M481" s="44">
        <v>2016</v>
      </c>
      <c r="N481" s="109">
        <v>0.06</v>
      </c>
      <c r="O481" s="110" t="s">
        <v>1171</v>
      </c>
    </row>
    <row r="482" ht="14.25" spans="13:15">
      <c r="M482" s="44">
        <v>1342</v>
      </c>
      <c r="N482" s="109">
        <v>0.06</v>
      </c>
      <c r="O482" s="110" t="s">
        <v>1172</v>
      </c>
    </row>
    <row r="483" ht="14.25" spans="13:15">
      <c r="M483" s="44">
        <v>1343</v>
      </c>
      <c r="N483" s="109">
        <v>0.06</v>
      </c>
      <c r="O483" s="110" t="s">
        <v>1173</v>
      </c>
    </row>
    <row r="484" ht="14.25" spans="13:15">
      <c r="M484" s="44">
        <v>2008</v>
      </c>
      <c r="N484" s="109">
        <v>0.06</v>
      </c>
      <c r="O484" s="110" t="s">
        <v>1174</v>
      </c>
    </row>
    <row r="485" ht="14.25" spans="13:15">
      <c r="M485" s="44">
        <v>2009</v>
      </c>
      <c r="N485" s="109">
        <v>0.06</v>
      </c>
      <c r="O485" s="110" t="s">
        <v>1175</v>
      </c>
    </row>
    <row r="486" ht="14.25" spans="13:15">
      <c r="M486" s="44">
        <v>1352</v>
      </c>
      <c r="N486" s="109">
        <v>0.06</v>
      </c>
      <c r="O486" s="110" t="s">
        <v>1176</v>
      </c>
    </row>
    <row r="487" ht="14.25" spans="13:15">
      <c r="M487" s="44">
        <v>1353</v>
      </c>
      <c r="N487" s="109">
        <v>0.06</v>
      </c>
      <c r="O487" s="110" t="s">
        <v>1177</v>
      </c>
    </row>
    <row r="488" ht="14.25" spans="13:15">
      <c r="M488" s="44">
        <v>2745</v>
      </c>
      <c r="N488" s="109"/>
      <c r="O488" s="110" t="s">
        <v>1178</v>
      </c>
    </row>
    <row r="489" ht="14.25" spans="13:15">
      <c r="M489" s="44">
        <v>2746</v>
      </c>
      <c r="N489" s="109"/>
      <c r="O489" s="110" t="s">
        <v>1179</v>
      </c>
    </row>
    <row r="490" ht="14.25" spans="13:15">
      <c r="M490" s="44">
        <v>1373</v>
      </c>
      <c r="N490" s="109"/>
      <c r="O490" s="110" t="s">
        <v>1180</v>
      </c>
    </row>
    <row r="491" ht="14.25" spans="13:15">
      <c r="M491" s="44">
        <v>1375</v>
      </c>
      <c r="N491" s="109">
        <v>0.06</v>
      </c>
      <c r="O491" s="110" t="s">
        <v>1181</v>
      </c>
    </row>
    <row r="492" ht="14.25" spans="13:15">
      <c r="M492" s="44">
        <v>1376</v>
      </c>
      <c r="N492" s="109">
        <v>0.06</v>
      </c>
      <c r="O492" s="110" t="s">
        <v>1182</v>
      </c>
    </row>
    <row r="493" ht="14.25" spans="13:15">
      <c r="M493" s="44">
        <v>1378</v>
      </c>
      <c r="N493" s="109">
        <v>0.06</v>
      </c>
      <c r="O493" s="110" t="s">
        <v>1183</v>
      </c>
    </row>
    <row r="494" ht="14.25" spans="13:15">
      <c r="M494" s="44">
        <v>1379</v>
      </c>
      <c r="N494" s="109">
        <v>0.06</v>
      </c>
      <c r="O494" s="110" t="s">
        <v>1184</v>
      </c>
    </row>
    <row r="495" ht="14.25" spans="13:15">
      <c r="M495" s="44">
        <v>1380</v>
      </c>
      <c r="N495" s="109">
        <v>0.06</v>
      </c>
      <c r="O495" s="110" t="s">
        <v>1185</v>
      </c>
    </row>
    <row r="496" ht="14.25" spans="13:15">
      <c r="M496" s="44">
        <v>3193</v>
      </c>
      <c r="N496" s="109">
        <v>0.06</v>
      </c>
      <c r="O496" s="110" t="s">
        <v>1186</v>
      </c>
    </row>
    <row r="497" ht="14.25" spans="13:15">
      <c r="M497" s="44">
        <v>3194</v>
      </c>
      <c r="N497" s="109">
        <v>0.06</v>
      </c>
      <c r="O497" s="110" t="s">
        <v>1187</v>
      </c>
    </row>
    <row r="498" ht="14.25" spans="13:15">
      <c r="M498" s="44">
        <v>2555</v>
      </c>
      <c r="N498" s="109">
        <v>0.06</v>
      </c>
      <c r="O498" s="110" t="s">
        <v>1188</v>
      </c>
    </row>
    <row r="499" ht="14.25" spans="13:15">
      <c r="M499" s="44">
        <v>2556</v>
      </c>
      <c r="N499" s="109">
        <v>0.06</v>
      </c>
      <c r="O499" s="110" t="s">
        <v>1189</v>
      </c>
    </row>
    <row r="500" ht="14.25" spans="13:15">
      <c r="M500" s="44">
        <v>1408</v>
      </c>
      <c r="N500" s="109" t="s">
        <v>1058</v>
      </c>
      <c r="O500" s="110" t="s">
        <v>1190</v>
      </c>
    </row>
    <row r="501" ht="14.25" spans="13:15">
      <c r="M501" s="44">
        <v>1409</v>
      </c>
      <c r="N501" s="109">
        <v>0.09</v>
      </c>
      <c r="O501" s="110" t="s">
        <v>1191</v>
      </c>
    </row>
    <row r="502" ht="14.25" spans="13:15">
      <c r="M502" s="44">
        <v>1410</v>
      </c>
      <c r="N502" s="109">
        <v>0.09</v>
      </c>
      <c r="O502" s="110" t="s">
        <v>1192</v>
      </c>
    </row>
    <row r="503" ht="14.25" spans="13:15">
      <c r="M503" s="44">
        <v>1411</v>
      </c>
      <c r="N503" s="109" t="s">
        <v>1061</v>
      </c>
      <c r="O503" s="110" t="s">
        <v>1193</v>
      </c>
    </row>
    <row r="504" ht="14.25" spans="13:15">
      <c r="M504" s="44">
        <v>1412</v>
      </c>
      <c r="N504" s="109" t="s">
        <v>1061</v>
      </c>
      <c r="O504" s="110" t="s">
        <v>1194</v>
      </c>
    </row>
    <row r="505" ht="14.25" spans="13:15">
      <c r="M505" s="44">
        <v>1413</v>
      </c>
      <c r="N505" s="109" t="s">
        <v>1061</v>
      </c>
      <c r="O505" s="110" t="s">
        <v>1195</v>
      </c>
    </row>
    <row r="506" ht="14.25" spans="13:15">
      <c r="M506" s="44">
        <v>1417</v>
      </c>
      <c r="N506" s="109">
        <v>0.06</v>
      </c>
      <c r="O506" s="110" t="s">
        <v>1196</v>
      </c>
    </row>
    <row r="507" ht="14.25" spans="13:15">
      <c r="M507" s="44">
        <v>1418</v>
      </c>
      <c r="N507" s="109">
        <v>0.06</v>
      </c>
      <c r="O507" s="110" t="s">
        <v>1197</v>
      </c>
    </row>
    <row r="508" ht="14.25" spans="13:15">
      <c r="M508" s="44">
        <v>1291</v>
      </c>
      <c r="N508" s="109">
        <v>0.06</v>
      </c>
      <c r="O508" s="110" t="s">
        <v>1198</v>
      </c>
    </row>
    <row r="509" ht="14.25" spans="13:15">
      <c r="M509" s="44">
        <v>1294</v>
      </c>
      <c r="N509" s="109">
        <v>0.06</v>
      </c>
      <c r="O509" s="110" t="s">
        <v>1199</v>
      </c>
    </row>
    <row r="510" ht="14.25" spans="13:15">
      <c r="M510" s="44">
        <v>1295</v>
      </c>
      <c r="N510" s="109">
        <v>0.06</v>
      </c>
      <c r="O510" s="110" t="s">
        <v>1200</v>
      </c>
    </row>
    <row r="511" ht="14.25" spans="13:15">
      <c r="M511" s="44">
        <v>1296</v>
      </c>
      <c r="N511" s="109">
        <v>0.06</v>
      </c>
      <c r="O511" s="110" t="s">
        <v>1201</v>
      </c>
    </row>
    <row r="512" ht="14.25" spans="13:15">
      <c r="M512" s="44">
        <v>1297</v>
      </c>
      <c r="N512" s="109">
        <v>0.06</v>
      </c>
      <c r="O512" s="110" t="s">
        <v>1202</v>
      </c>
    </row>
    <row r="513" ht="14.25" spans="13:15">
      <c r="M513" s="44">
        <v>1298</v>
      </c>
      <c r="N513" s="109">
        <v>0.06</v>
      </c>
      <c r="O513" s="110" t="s">
        <v>1203</v>
      </c>
    </row>
    <row r="514" ht="14.25" spans="13:15">
      <c r="M514" s="44">
        <v>1299</v>
      </c>
      <c r="N514" s="109">
        <v>0.06</v>
      </c>
      <c r="O514" s="110" t="s">
        <v>1204</v>
      </c>
    </row>
    <row r="515" ht="14.25" spans="13:15">
      <c r="M515" s="44">
        <v>2751</v>
      </c>
      <c r="N515" s="109"/>
      <c r="O515" s="110" t="s">
        <v>1205</v>
      </c>
    </row>
    <row r="516" ht="14.25" spans="13:15">
      <c r="M516" s="44">
        <v>2752</v>
      </c>
      <c r="N516" s="109"/>
      <c r="O516" s="110" t="s">
        <v>1206</v>
      </c>
    </row>
    <row r="517" ht="14.25" spans="13:15">
      <c r="M517" s="44">
        <v>2978</v>
      </c>
      <c r="N517" s="109">
        <v>0.06</v>
      </c>
      <c r="O517" s="110" t="s">
        <v>1207</v>
      </c>
    </row>
    <row r="518" ht="14.25" spans="13:15">
      <c r="M518" s="44">
        <v>2979</v>
      </c>
      <c r="N518" s="109">
        <v>0.06</v>
      </c>
      <c r="O518" s="110" t="s">
        <v>1208</v>
      </c>
    </row>
    <row r="519" ht="14.25" spans="13:15">
      <c r="M519" s="44">
        <v>2980</v>
      </c>
      <c r="N519" s="109">
        <v>0.06</v>
      </c>
      <c r="O519" s="110" t="s">
        <v>1209</v>
      </c>
    </row>
    <row r="520" ht="14.25" spans="13:15">
      <c r="M520" s="44">
        <v>2983</v>
      </c>
      <c r="N520" s="109">
        <v>0.06</v>
      </c>
      <c r="O520" s="110" t="s">
        <v>1210</v>
      </c>
    </row>
    <row r="521" ht="14.25" spans="13:15">
      <c r="M521" s="44">
        <v>2985</v>
      </c>
      <c r="N521" s="109">
        <v>0.09</v>
      </c>
      <c r="O521" s="110" t="s">
        <v>1211</v>
      </c>
    </row>
    <row r="522" ht="14.25" spans="13:15">
      <c r="M522" s="44">
        <v>2986</v>
      </c>
      <c r="N522" s="109">
        <v>0.09</v>
      </c>
      <c r="O522" s="110" t="s">
        <v>1212</v>
      </c>
    </row>
    <row r="523" ht="14.25" spans="13:15">
      <c r="M523" s="44">
        <v>2987</v>
      </c>
      <c r="N523" s="109">
        <v>0.09</v>
      </c>
      <c r="O523" s="110" t="s">
        <v>1213</v>
      </c>
    </row>
    <row r="524" ht="14.25" spans="13:15">
      <c r="M524" s="44">
        <v>2989</v>
      </c>
      <c r="N524" s="109">
        <v>0.06</v>
      </c>
      <c r="O524" s="110" t="s">
        <v>1214</v>
      </c>
    </row>
    <row r="525" ht="14.25" spans="13:15">
      <c r="M525" s="44">
        <v>2990</v>
      </c>
      <c r="N525" s="109">
        <v>0.06</v>
      </c>
      <c r="O525" s="110" t="s">
        <v>1215</v>
      </c>
    </row>
    <row r="526" ht="14.25" spans="13:15">
      <c r="M526" s="44">
        <v>2991</v>
      </c>
      <c r="N526" s="109">
        <v>0.06</v>
      </c>
      <c r="O526" s="110" t="s">
        <v>1216</v>
      </c>
    </row>
    <row r="527" ht="14.25" spans="13:15">
      <c r="M527" s="44">
        <v>3000</v>
      </c>
      <c r="N527" s="109">
        <v>0.06</v>
      </c>
      <c r="O527" s="110" t="s">
        <v>1217</v>
      </c>
    </row>
    <row r="528" ht="14.25" spans="13:15">
      <c r="M528" s="44">
        <v>3001</v>
      </c>
      <c r="N528" s="109">
        <v>0.06</v>
      </c>
      <c r="O528" s="110" t="s">
        <v>1218</v>
      </c>
    </row>
    <row r="529" ht="14.25" spans="13:15">
      <c r="M529" s="44">
        <v>3004</v>
      </c>
      <c r="N529" s="109">
        <v>0.06</v>
      </c>
      <c r="O529" s="110" t="s">
        <v>1219</v>
      </c>
    </row>
    <row r="530" ht="14.25" spans="13:15">
      <c r="M530" s="44">
        <v>3005</v>
      </c>
      <c r="N530" s="109">
        <v>0.06</v>
      </c>
      <c r="O530" s="110" t="s">
        <v>1220</v>
      </c>
    </row>
    <row r="531" ht="14.25" spans="13:15">
      <c r="M531" s="44">
        <v>3007</v>
      </c>
      <c r="N531" s="109">
        <v>0.09</v>
      </c>
      <c r="O531" s="110" t="s">
        <v>1221</v>
      </c>
    </row>
    <row r="532" ht="14.25" spans="13:15">
      <c r="M532" s="44">
        <v>3008</v>
      </c>
      <c r="N532" s="109">
        <v>0.09</v>
      </c>
      <c r="O532" s="110" t="s">
        <v>1222</v>
      </c>
    </row>
    <row r="533" ht="14.25" spans="13:15">
      <c r="M533" s="44">
        <v>3009</v>
      </c>
      <c r="N533" s="109">
        <v>0.09</v>
      </c>
      <c r="O533" s="110" t="s">
        <v>1223</v>
      </c>
    </row>
    <row r="534" ht="14.25" spans="13:15">
      <c r="M534" s="44">
        <v>3012</v>
      </c>
      <c r="N534" s="109">
        <v>0.06</v>
      </c>
      <c r="O534" s="110" t="s">
        <v>1224</v>
      </c>
    </row>
    <row r="535" ht="14.25" spans="13:15">
      <c r="M535" s="44">
        <v>3013</v>
      </c>
      <c r="N535" s="109">
        <v>0.06</v>
      </c>
      <c r="O535" s="110" t="s">
        <v>1225</v>
      </c>
    </row>
    <row r="536" ht="14.25" spans="13:15">
      <c r="M536" s="44">
        <v>2957</v>
      </c>
      <c r="N536" s="109">
        <v>0.06</v>
      </c>
      <c r="O536" s="110" t="s">
        <v>1226</v>
      </c>
    </row>
    <row r="537" ht="14.25" spans="13:15">
      <c r="M537" s="44">
        <v>2958</v>
      </c>
      <c r="N537" s="109">
        <v>0.06</v>
      </c>
      <c r="O537" s="110" t="s">
        <v>1227</v>
      </c>
    </row>
    <row r="538" ht="14.25" spans="13:15">
      <c r="M538" s="44">
        <v>2024</v>
      </c>
      <c r="N538" s="109">
        <v>0.06</v>
      </c>
      <c r="O538" s="110" t="s">
        <v>1228</v>
      </c>
    </row>
    <row r="539" ht="14.25" spans="13:15">
      <c r="M539" s="44">
        <v>2330</v>
      </c>
      <c r="N539" s="109">
        <v>0.06</v>
      </c>
      <c r="O539" s="110" t="s">
        <v>1229</v>
      </c>
    </row>
    <row r="540" ht="14.25" spans="13:15">
      <c r="M540" s="44">
        <v>2959</v>
      </c>
      <c r="N540" s="109">
        <v>0.06</v>
      </c>
      <c r="O540" s="110" t="s">
        <v>1230</v>
      </c>
    </row>
    <row r="541" ht="14.25" spans="13:15">
      <c r="M541" s="44">
        <v>2960</v>
      </c>
      <c r="N541" s="109">
        <v>0.06</v>
      </c>
      <c r="O541" s="110" t="s">
        <v>1231</v>
      </c>
    </row>
    <row r="542" ht="14.25" spans="13:15">
      <c r="M542" s="44">
        <v>2027</v>
      </c>
      <c r="N542" s="109">
        <v>0.09</v>
      </c>
      <c r="O542" s="110" t="s">
        <v>1232</v>
      </c>
    </row>
    <row r="543" ht="14.25" spans="13:15">
      <c r="M543" s="44">
        <v>2028</v>
      </c>
      <c r="N543" s="109">
        <v>0.09</v>
      </c>
      <c r="O543" s="110" t="s">
        <v>1233</v>
      </c>
    </row>
    <row r="544" ht="14.25" spans="13:15">
      <c r="M544" s="44">
        <v>2029</v>
      </c>
      <c r="N544" s="109">
        <v>0.09</v>
      </c>
      <c r="O544" s="110" t="s">
        <v>1234</v>
      </c>
    </row>
    <row r="545" ht="14.25" spans="13:15">
      <c r="M545" s="44">
        <v>2568</v>
      </c>
      <c r="N545" s="109">
        <v>0.06</v>
      </c>
      <c r="O545" s="110" t="s">
        <v>1235</v>
      </c>
    </row>
    <row r="546" ht="14.25" spans="13:15">
      <c r="M546" s="44">
        <v>2569</v>
      </c>
      <c r="N546" s="109">
        <v>0.06</v>
      </c>
      <c r="O546" s="110" t="s">
        <v>1236</v>
      </c>
    </row>
    <row r="547" ht="14.25" spans="13:15">
      <c r="M547" s="44">
        <v>2913</v>
      </c>
      <c r="N547" s="109">
        <v>0.06</v>
      </c>
      <c r="O547" s="110" t="s">
        <v>1237</v>
      </c>
    </row>
    <row r="548" ht="14.25" spans="13:15">
      <c r="M548" s="44">
        <v>2036</v>
      </c>
      <c r="N548" s="109">
        <v>0.06</v>
      </c>
      <c r="O548" s="110" t="s">
        <v>1238</v>
      </c>
    </row>
    <row r="549" ht="14.25" spans="13:15">
      <c r="M549" s="44">
        <v>3020</v>
      </c>
      <c r="N549" s="109">
        <v>0.09</v>
      </c>
      <c r="O549" s="110" t="s">
        <v>1239</v>
      </c>
    </row>
    <row r="550" ht="14.25" spans="13:15">
      <c r="M550" s="44">
        <v>3021</v>
      </c>
      <c r="N550" s="109">
        <v>0.09</v>
      </c>
      <c r="O550" s="110" t="s">
        <v>1240</v>
      </c>
    </row>
    <row r="551" ht="14.25" spans="13:15">
      <c r="M551" s="44">
        <v>3033</v>
      </c>
      <c r="N551" s="109">
        <v>0</v>
      </c>
      <c r="O551" s="110" t="s">
        <v>1241</v>
      </c>
    </row>
    <row r="552" ht="14.25" spans="13:15">
      <c r="M552" s="44">
        <v>3170</v>
      </c>
      <c r="N552" s="109">
        <v>0.09</v>
      </c>
      <c r="O552" s="110" t="s">
        <v>1242</v>
      </c>
    </row>
    <row r="553" ht="14.25" spans="12:16">
      <c r="L553" s="114"/>
      <c r="M553" s="44">
        <v>3171</v>
      </c>
      <c r="N553" s="109">
        <v>0.09</v>
      </c>
      <c r="O553" s="110" t="s">
        <v>1243</v>
      </c>
      <c r="P553" s="114"/>
    </row>
    <row r="554" ht="14.25" spans="12:16">
      <c r="L554" s="114"/>
      <c r="M554" s="44">
        <v>3062</v>
      </c>
      <c r="N554" s="109">
        <v>0</v>
      </c>
      <c r="O554" s="110" t="s">
        <v>1244</v>
      </c>
      <c r="P554" s="114"/>
    </row>
    <row r="555" ht="14.25" spans="12:16">
      <c r="L555" s="114"/>
      <c r="M555" s="44">
        <v>3066</v>
      </c>
      <c r="N555" s="109">
        <v>0.09</v>
      </c>
      <c r="O555" s="110" t="s">
        <v>1245</v>
      </c>
      <c r="P555" s="114"/>
    </row>
    <row r="556" ht="14.25" spans="12:16">
      <c r="L556" s="114"/>
      <c r="M556" s="44">
        <v>3068</v>
      </c>
      <c r="N556" s="109">
        <v>0.09</v>
      </c>
      <c r="O556" s="110" t="s">
        <v>1246</v>
      </c>
      <c r="P556" s="114"/>
    </row>
    <row r="557" ht="14.25" spans="12:16">
      <c r="L557" s="114"/>
      <c r="M557" s="44">
        <v>3069</v>
      </c>
      <c r="N557" s="109">
        <v>0</v>
      </c>
      <c r="O557" s="110" t="s">
        <v>1247</v>
      </c>
      <c r="P557" s="114"/>
    </row>
    <row r="558" ht="14.25" spans="12:16">
      <c r="L558" s="114"/>
      <c r="M558" s="44">
        <v>3073</v>
      </c>
      <c r="N558" s="109">
        <v>0.09</v>
      </c>
      <c r="O558" s="110" t="s">
        <v>1248</v>
      </c>
      <c r="P558" s="114"/>
    </row>
    <row r="559" ht="14.25" spans="12:16">
      <c r="L559" s="114"/>
      <c r="M559" s="44">
        <v>3074</v>
      </c>
      <c r="N559" s="109">
        <v>0</v>
      </c>
      <c r="O559" s="110" t="s">
        <v>1249</v>
      </c>
      <c r="P559" s="114"/>
    </row>
    <row r="560" ht="14.25" spans="12:16">
      <c r="L560" s="114"/>
      <c r="M560" s="44">
        <v>3075</v>
      </c>
      <c r="N560" s="109">
        <v>0.06</v>
      </c>
      <c r="O560" s="110" t="s">
        <v>1250</v>
      </c>
      <c r="P560" s="114"/>
    </row>
    <row r="561" ht="14.25" spans="12:16">
      <c r="L561" s="114"/>
      <c r="M561" s="44">
        <v>3076</v>
      </c>
      <c r="N561" s="109">
        <v>0.09</v>
      </c>
      <c r="O561" s="110" t="s">
        <v>1251</v>
      </c>
      <c r="P561" s="114"/>
    </row>
    <row r="562" ht="14.25" spans="12:16">
      <c r="L562" s="114"/>
      <c r="M562" s="44">
        <v>3080</v>
      </c>
      <c r="N562" s="109">
        <v>0.09</v>
      </c>
      <c r="O562" s="110" t="s">
        <v>1252</v>
      </c>
      <c r="P562" s="114"/>
    </row>
    <row r="563" ht="14.25" spans="12:16">
      <c r="L563" s="114"/>
      <c r="M563" s="44">
        <v>3081</v>
      </c>
      <c r="N563" s="109">
        <v>0.09</v>
      </c>
      <c r="O563" s="110" t="s">
        <v>1253</v>
      </c>
      <c r="P563" s="114"/>
    </row>
    <row r="564" ht="14.25" spans="12:16">
      <c r="L564" s="114"/>
      <c r="M564" s="44">
        <v>3084</v>
      </c>
      <c r="N564" s="109">
        <v>0.09</v>
      </c>
      <c r="O564" s="110" t="s">
        <v>1254</v>
      </c>
      <c r="P564" s="114"/>
    </row>
    <row r="565" ht="14.25" spans="12:16">
      <c r="L565" s="114"/>
      <c r="M565" s="44">
        <v>3085</v>
      </c>
      <c r="N565" s="109">
        <v>0.09</v>
      </c>
      <c r="O565" s="110" t="s">
        <v>1255</v>
      </c>
      <c r="P565" s="114"/>
    </row>
    <row r="566" ht="14.25" spans="12:16">
      <c r="L566" s="114"/>
      <c r="M566" s="44">
        <v>3087</v>
      </c>
      <c r="N566" s="109">
        <v>0.09</v>
      </c>
      <c r="O566" s="110" t="s">
        <v>1256</v>
      </c>
      <c r="P566" s="114"/>
    </row>
    <row r="567" ht="14.25" spans="12:16">
      <c r="L567" s="114"/>
      <c r="M567" s="44">
        <v>3088</v>
      </c>
      <c r="N567" s="109">
        <v>0</v>
      </c>
      <c r="O567" s="110" t="s">
        <v>1257</v>
      </c>
      <c r="P567" s="114"/>
    </row>
    <row r="568" ht="14.25" spans="12:16">
      <c r="L568" s="114"/>
      <c r="M568" s="44">
        <v>3091</v>
      </c>
      <c r="N568" s="109">
        <v>0.09</v>
      </c>
      <c r="O568" s="110" t="s">
        <v>1258</v>
      </c>
      <c r="P568" s="114"/>
    </row>
    <row r="569" ht="14.25" spans="12:16">
      <c r="L569" s="114"/>
      <c r="M569" s="44">
        <v>3092</v>
      </c>
      <c r="N569" s="109">
        <v>0.09</v>
      </c>
      <c r="O569" s="110" t="s">
        <v>1259</v>
      </c>
      <c r="P569" s="114"/>
    </row>
    <row r="570" ht="14.25" spans="12:16">
      <c r="L570" s="114"/>
      <c r="M570" s="44">
        <v>3094</v>
      </c>
      <c r="N570" s="109">
        <v>0.09</v>
      </c>
      <c r="O570" s="110" t="s">
        <v>1260</v>
      </c>
      <c r="P570" s="114"/>
    </row>
    <row r="571" ht="14.25" spans="12:16">
      <c r="L571" s="114"/>
      <c r="M571" s="44">
        <v>3095</v>
      </c>
      <c r="N571" s="109">
        <v>0</v>
      </c>
      <c r="O571" s="110" t="s">
        <v>1261</v>
      </c>
      <c r="P571" s="114"/>
    </row>
    <row r="572" ht="14.25" spans="12:16">
      <c r="L572" s="114"/>
      <c r="M572" s="44">
        <v>3098</v>
      </c>
      <c r="N572" s="109">
        <v>0.09</v>
      </c>
      <c r="O572" s="110" t="s">
        <v>1262</v>
      </c>
      <c r="P572" s="114"/>
    </row>
    <row r="573" ht="14.25" spans="12:16">
      <c r="L573" s="114"/>
      <c r="M573" s="44">
        <v>3099</v>
      </c>
      <c r="N573" s="109">
        <v>0.09</v>
      </c>
      <c r="O573" s="110" t="s">
        <v>1263</v>
      </c>
      <c r="P573" s="114"/>
    </row>
    <row r="574" ht="14.25" spans="12:16">
      <c r="L574" s="114"/>
      <c r="M574" s="44">
        <v>3101</v>
      </c>
      <c r="N574" s="109">
        <v>0.09</v>
      </c>
      <c r="O574" s="110" t="s">
        <v>1264</v>
      </c>
      <c r="P574" s="114"/>
    </row>
    <row r="575" ht="14.25" spans="12:16">
      <c r="L575" s="114"/>
      <c r="M575" s="44">
        <v>3102</v>
      </c>
      <c r="N575" s="109">
        <v>0</v>
      </c>
      <c r="O575" s="110" t="s">
        <v>1265</v>
      </c>
      <c r="P575" s="114"/>
    </row>
    <row r="576" ht="14.25" spans="12:16">
      <c r="L576" s="114"/>
      <c r="M576" s="44">
        <v>3104</v>
      </c>
      <c r="N576" s="109">
        <v>0.09</v>
      </c>
      <c r="O576" s="110" t="s">
        <v>1266</v>
      </c>
      <c r="P576" s="114"/>
    </row>
    <row r="577" ht="14.25" spans="12:16">
      <c r="L577" s="114"/>
      <c r="M577" s="44">
        <v>3106</v>
      </c>
      <c r="N577" s="109">
        <v>0.09</v>
      </c>
      <c r="O577" s="110" t="s">
        <v>1267</v>
      </c>
      <c r="P577" s="114"/>
    </row>
    <row r="578" ht="14.25" spans="12:16">
      <c r="L578" s="114"/>
      <c r="M578" s="44">
        <v>3107</v>
      </c>
      <c r="N578" s="109">
        <v>0</v>
      </c>
      <c r="O578" s="110" t="s">
        <v>1268</v>
      </c>
      <c r="P578" s="114"/>
    </row>
    <row r="579" ht="14.25" spans="12:16">
      <c r="L579" s="114"/>
      <c r="M579" s="44">
        <v>3108</v>
      </c>
      <c r="N579" s="109">
        <v>0.09</v>
      </c>
      <c r="O579" s="110" t="s">
        <v>1269</v>
      </c>
      <c r="P579" s="114"/>
    </row>
    <row r="580" ht="14.25" spans="12:16">
      <c r="L580" s="114"/>
      <c r="M580" s="44">
        <v>3109</v>
      </c>
      <c r="N580" s="109">
        <v>0.09</v>
      </c>
      <c r="O580" s="110" t="s">
        <v>1270</v>
      </c>
      <c r="P580" s="114"/>
    </row>
    <row r="581" ht="14.25" spans="12:16">
      <c r="L581" s="114"/>
      <c r="M581" s="44">
        <v>3110</v>
      </c>
      <c r="N581" s="109" t="s">
        <v>1271</v>
      </c>
      <c r="O581" s="110" t="s">
        <v>1272</v>
      </c>
      <c r="P581" s="114"/>
    </row>
    <row r="582" ht="14.25" spans="12:16">
      <c r="L582" s="114"/>
      <c r="M582" s="44">
        <v>1952</v>
      </c>
      <c r="N582" s="109">
        <v>0.09</v>
      </c>
      <c r="O582" s="110" t="s">
        <v>1273</v>
      </c>
      <c r="P582" s="114"/>
    </row>
    <row r="583" ht="14.25" spans="12:16">
      <c r="L583" s="114"/>
      <c r="M583" s="44">
        <v>1954</v>
      </c>
      <c r="N583" s="109">
        <v>0.09</v>
      </c>
      <c r="O583" s="110" t="s">
        <v>1274</v>
      </c>
      <c r="P583" s="114"/>
    </row>
    <row r="584" ht="14.25" spans="12:16">
      <c r="L584" s="114"/>
      <c r="M584" s="44">
        <v>1963</v>
      </c>
      <c r="N584" s="109">
        <v>0.09</v>
      </c>
      <c r="O584" s="110" t="s">
        <v>1275</v>
      </c>
      <c r="P584" s="114"/>
    </row>
    <row r="585" ht="14.25" spans="12:16">
      <c r="L585" s="114"/>
      <c r="M585" s="44">
        <v>1964</v>
      </c>
      <c r="N585" s="109" t="s">
        <v>1271</v>
      </c>
      <c r="O585" s="110" t="s">
        <v>1276</v>
      </c>
      <c r="P585" s="114"/>
    </row>
    <row r="586" ht="14.25" spans="12:16">
      <c r="L586" s="114"/>
      <c r="M586" s="44">
        <v>1955</v>
      </c>
      <c r="N586" s="109" t="s">
        <v>1271</v>
      </c>
      <c r="O586" s="110" t="s">
        <v>1277</v>
      </c>
      <c r="P586" s="114"/>
    </row>
    <row r="587" ht="14.25" spans="12:16">
      <c r="L587" s="114"/>
      <c r="M587" s="44">
        <v>1717</v>
      </c>
      <c r="N587" s="109">
        <v>0.06</v>
      </c>
      <c r="O587" s="110" t="s">
        <v>1278</v>
      </c>
      <c r="P587" s="114"/>
    </row>
    <row r="588" ht="14.25" spans="12:16">
      <c r="L588" s="114"/>
      <c r="M588" s="44">
        <v>1718</v>
      </c>
      <c r="N588" s="109">
        <v>0.06</v>
      </c>
      <c r="O588" s="110" t="s">
        <v>1279</v>
      </c>
      <c r="P588" s="114"/>
    </row>
    <row r="589" ht="14.25" spans="12:16">
      <c r="L589" s="114"/>
      <c r="M589" s="44">
        <v>3172</v>
      </c>
      <c r="N589" s="109">
        <v>0.06</v>
      </c>
      <c r="O589" s="110" t="s">
        <v>1280</v>
      </c>
      <c r="P589" s="114"/>
    </row>
    <row r="590" ht="14.25" spans="12:16">
      <c r="L590" s="114"/>
      <c r="M590" s="44">
        <v>3115</v>
      </c>
      <c r="N590" s="109">
        <v>0.06</v>
      </c>
      <c r="O590" s="110" t="s">
        <v>1281</v>
      </c>
      <c r="P590" s="114"/>
    </row>
    <row r="591" ht="14.25" spans="12:16">
      <c r="L591" s="114"/>
      <c r="M591" s="44">
        <v>3116</v>
      </c>
      <c r="N591" s="109">
        <v>0.06</v>
      </c>
      <c r="O591" s="110" t="s">
        <v>1282</v>
      </c>
      <c r="P591" s="114"/>
    </row>
    <row r="592" ht="14.25" spans="12:16">
      <c r="L592" s="114"/>
      <c r="M592" s="44">
        <v>3117</v>
      </c>
      <c r="N592" s="109">
        <v>0.06</v>
      </c>
      <c r="O592" s="110" t="s">
        <v>1283</v>
      </c>
      <c r="P592" s="114"/>
    </row>
    <row r="593" ht="14.25" spans="12:16">
      <c r="L593" s="114"/>
      <c r="M593" s="44">
        <v>2550</v>
      </c>
      <c r="N593" s="109">
        <v>0.06</v>
      </c>
      <c r="O593" s="113" t="s">
        <v>1284</v>
      </c>
      <c r="P593" s="114"/>
    </row>
    <row r="594" ht="14.25" spans="12:16">
      <c r="L594" s="114"/>
      <c r="M594" s="44">
        <v>3123</v>
      </c>
      <c r="N594" s="109">
        <v>0.06</v>
      </c>
      <c r="O594" s="110" t="s">
        <v>1285</v>
      </c>
      <c r="P594" s="114"/>
    </row>
    <row r="595" ht="14.25" spans="12:16">
      <c r="L595" s="114"/>
      <c r="M595" s="44">
        <v>3125</v>
      </c>
      <c r="N595" s="109">
        <v>0.06</v>
      </c>
      <c r="O595" s="110" t="s">
        <v>1286</v>
      </c>
      <c r="P595" s="114"/>
    </row>
    <row r="596" ht="14.25" spans="12:16">
      <c r="L596" s="114"/>
      <c r="M596" s="44">
        <v>3126</v>
      </c>
      <c r="N596" s="109">
        <v>0.06</v>
      </c>
      <c r="O596" s="110" t="s">
        <v>1287</v>
      </c>
      <c r="P596" s="114"/>
    </row>
    <row r="597" ht="14.25" spans="12:16">
      <c r="L597" s="114"/>
      <c r="M597" s="44">
        <v>3127</v>
      </c>
      <c r="N597" s="109">
        <v>0.06</v>
      </c>
      <c r="O597" s="110" t="s">
        <v>1288</v>
      </c>
      <c r="P597" s="114"/>
    </row>
    <row r="598" ht="14.25" spans="12:16">
      <c r="L598" s="114"/>
      <c r="M598" s="44">
        <v>3128</v>
      </c>
      <c r="N598" s="109">
        <v>0.06</v>
      </c>
      <c r="O598" s="110" t="s">
        <v>1289</v>
      </c>
      <c r="P598" s="114"/>
    </row>
    <row r="599" ht="14.25" spans="12:16">
      <c r="L599" s="114"/>
      <c r="M599" s="44">
        <v>3129</v>
      </c>
      <c r="N599" s="109">
        <v>0.06</v>
      </c>
      <c r="O599" s="110" t="s">
        <v>1290</v>
      </c>
      <c r="P599" s="114"/>
    </row>
    <row r="600" ht="14.25" spans="12:16">
      <c r="L600" s="114"/>
      <c r="M600" s="44">
        <v>1727</v>
      </c>
      <c r="N600" s="109">
        <v>0.06</v>
      </c>
      <c r="O600" s="110" t="s">
        <v>1291</v>
      </c>
      <c r="P600" s="114"/>
    </row>
    <row r="601" ht="14.25" spans="12:16">
      <c r="L601" s="114"/>
      <c r="M601" s="44">
        <v>2769</v>
      </c>
      <c r="N601" s="109">
        <v>0.06</v>
      </c>
      <c r="O601" s="110" t="s">
        <v>1292</v>
      </c>
      <c r="P601" s="114"/>
    </row>
    <row r="602" ht="14.25" spans="12:16">
      <c r="L602" s="114"/>
      <c r="M602" s="44">
        <v>2770</v>
      </c>
      <c r="N602" s="109">
        <v>0.06</v>
      </c>
      <c r="O602" s="110" t="s">
        <v>1293</v>
      </c>
      <c r="P602" s="114"/>
    </row>
    <row r="603" ht="14.25" spans="12:16">
      <c r="L603" s="114"/>
      <c r="M603" s="44">
        <v>2365</v>
      </c>
      <c r="N603" s="109">
        <v>0.06</v>
      </c>
      <c r="O603" s="110" t="s">
        <v>1294</v>
      </c>
      <c r="P603" s="114"/>
    </row>
    <row r="604" ht="14.25" spans="12:16">
      <c r="L604" s="114"/>
      <c r="M604" s="44">
        <v>2695</v>
      </c>
      <c r="N604" s="109">
        <v>0.06</v>
      </c>
      <c r="O604" s="110" t="s">
        <v>1295</v>
      </c>
      <c r="P604" s="114"/>
    </row>
    <row r="605" ht="14.25" spans="12:16">
      <c r="L605" s="114"/>
      <c r="M605" s="44">
        <v>3232</v>
      </c>
      <c r="N605" s="109">
        <v>0.06</v>
      </c>
      <c r="O605" s="110" t="s">
        <v>1296</v>
      </c>
      <c r="P605" s="114"/>
    </row>
    <row r="606" ht="14.25" spans="12:16">
      <c r="L606" s="114"/>
      <c r="M606" s="44">
        <v>2339</v>
      </c>
      <c r="N606" s="109">
        <v>0.06</v>
      </c>
      <c r="O606" s="110" t="s">
        <v>1297</v>
      </c>
      <c r="P606" s="114"/>
    </row>
    <row r="607" ht="14.25" spans="12:16">
      <c r="L607" s="114"/>
      <c r="M607" s="44">
        <v>2342</v>
      </c>
      <c r="N607" s="109">
        <v>0.06</v>
      </c>
      <c r="O607" s="110" t="s">
        <v>1298</v>
      </c>
      <c r="P607" s="114"/>
    </row>
    <row r="608" ht="14.25" spans="12:16">
      <c r="L608" s="114"/>
      <c r="M608" s="44">
        <v>2343</v>
      </c>
      <c r="N608" s="109">
        <v>0.06</v>
      </c>
      <c r="O608" s="110" t="s">
        <v>1299</v>
      </c>
      <c r="P608" s="114"/>
    </row>
    <row r="609" ht="14.25" spans="12:16">
      <c r="L609" s="114"/>
      <c r="M609" s="44">
        <v>2344</v>
      </c>
      <c r="N609" s="109">
        <v>0.06</v>
      </c>
      <c r="O609" s="110" t="s">
        <v>1300</v>
      </c>
      <c r="P609" s="114"/>
    </row>
    <row r="610" ht="14.25" spans="12:16">
      <c r="L610" s="114"/>
      <c r="M610" s="44">
        <v>2346</v>
      </c>
      <c r="N610" s="109">
        <v>0.06</v>
      </c>
      <c r="O610" s="110" t="s">
        <v>1301</v>
      </c>
      <c r="P610" s="114"/>
    </row>
    <row r="611" ht="14.25" spans="12:16">
      <c r="L611" s="114"/>
      <c r="M611" s="44">
        <v>2965</v>
      </c>
      <c r="N611" s="109">
        <v>0.06</v>
      </c>
      <c r="O611" s="110" t="s">
        <v>1302</v>
      </c>
      <c r="P611" s="114"/>
    </row>
    <row r="612" ht="14.25" spans="12:16">
      <c r="L612" s="114"/>
      <c r="M612" s="44">
        <v>2966</v>
      </c>
      <c r="N612" s="109">
        <v>0.06</v>
      </c>
      <c r="O612" s="110" t="s">
        <v>1303</v>
      </c>
      <c r="P612" s="114"/>
    </row>
    <row r="613" ht="14.25" spans="12:16">
      <c r="L613" s="114"/>
      <c r="M613" s="44">
        <v>2354</v>
      </c>
      <c r="N613" s="109">
        <v>0.06</v>
      </c>
      <c r="O613" s="110" t="s">
        <v>1304</v>
      </c>
      <c r="P613" s="114"/>
    </row>
    <row r="614" ht="14.25" spans="12:16">
      <c r="L614" s="114"/>
      <c r="M614" s="44">
        <v>2355</v>
      </c>
      <c r="N614" s="109">
        <v>0.06</v>
      </c>
      <c r="O614" s="110" t="s">
        <v>1305</v>
      </c>
      <c r="P614" s="114"/>
    </row>
    <row r="615" ht="14.25" spans="12:16">
      <c r="L615" s="114"/>
      <c r="M615" s="44">
        <v>3173</v>
      </c>
      <c r="N615" s="109">
        <v>0.06</v>
      </c>
      <c r="O615" s="110" t="s">
        <v>1306</v>
      </c>
      <c r="P615" s="114"/>
    </row>
    <row r="616" ht="14.25" spans="12:16">
      <c r="L616" s="114"/>
      <c r="M616" s="44">
        <v>3174</v>
      </c>
      <c r="N616" s="109">
        <v>0.06</v>
      </c>
      <c r="O616" s="110" t="s">
        <v>1307</v>
      </c>
      <c r="P616" s="114"/>
    </row>
    <row r="617" ht="14.25" spans="12:16">
      <c r="L617" s="114"/>
      <c r="M617" s="44">
        <v>3138</v>
      </c>
      <c r="N617" s="109">
        <v>0.06</v>
      </c>
      <c r="O617" s="110" t="s">
        <v>1308</v>
      </c>
      <c r="P617" s="114"/>
    </row>
    <row r="618" ht="14.25" spans="12:16">
      <c r="L618" s="114"/>
      <c r="M618" s="44">
        <v>2998</v>
      </c>
      <c r="N618" s="109">
        <v>0.06</v>
      </c>
      <c r="O618" s="110" t="s">
        <v>1309</v>
      </c>
      <c r="P618" s="114"/>
    </row>
    <row r="619" ht="14.25" spans="12:16">
      <c r="L619" s="114"/>
      <c r="M619" s="44">
        <v>3175</v>
      </c>
      <c r="N619" s="109">
        <v>0.06</v>
      </c>
      <c r="O619" s="110" t="s">
        <v>1310</v>
      </c>
      <c r="P619" s="114"/>
    </row>
    <row r="620" ht="14.25" spans="12:16">
      <c r="L620" s="114"/>
      <c r="M620" s="44">
        <v>3176</v>
      </c>
      <c r="N620" s="109">
        <v>0.06</v>
      </c>
      <c r="O620" s="110" t="s">
        <v>1311</v>
      </c>
      <c r="P620" s="114"/>
    </row>
    <row r="621" ht="14.25" spans="12:16">
      <c r="L621" s="114"/>
      <c r="M621" s="44">
        <v>3151</v>
      </c>
      <c r="N621" s="109">
        <v>0.06</v>
      </c>
      <c r="O621" s="110" t="s">
        <v>1312</v>
      </c>
      <c r="P621" s="114"/>
    </row>
    <row r="622" ht="14.25" spans="12:16">
      <c r="L622" s="114"/>
      <c r="M622" s="44">
        <v>3152</v>
      </c>
      <c r="N622" s="109">
        <v>0.06</v>
      </c>
      <c r="O622" s="110" t="s">
        <v>1313</v>
      </c>
      <c r="P622" s="114"/>
    </row>
    <row r="623" ht="14.25" spans="12:16">
      <c r="L623" s="114"/>
      <c r="M623" s="44">
        <v>3177</v>
      </c>
      <c r="N623" s="109">
        <v>0.06</v>
      </c>
      <c r="O623" s="110" t="s">
        <v>1314</v>
      </c>
      <c r="P623" s="114"/>
    </row>
    <row r="624" ht="14.25" spans="12:16">
      <c r="L624" s="114"/>
      <c r="M624" s="44">
        <v>2375</v>
      </c>
      <c r="N624" s="109">
        <v>0.06</v>
      </c>
      <c r="O624" s="110" t="s">
        <v>1315</v>
      </c>
      <c r="P624" s="114"/>
    </row>
    <row r="625" ht="14.25" spans="12:16">
      <c r="L625" s="114"/>
      <c r="M625" s="44">
        <v>2376</v>
      </c>
      <c r="N625" s="109">
        <v>0.06</v>
      </c>
      <c r="O625" s="110" t="s">
        <v>1316</v>
      </c>
      <c r="P625" s="114"/>
    </row>
    <row r="626" ht="14.25" spans="12:16">
      <c r="L626" s="114"/>
      <c r="M626" s="44">
        <v>3179</v>
      </c>
      <c r="N626" s="109">
        <v>0.06</v>
      </c>
      <c r="O626" s="110" t="s">
        <v>1317</v>
      </c>
      <c r="P626" s="114"/>
    </row>
    <row r="627" ht="14.25" spans="12:16">
      <c r="L627" s="114"/>
      <c r="M627" s="44">
        <v>2696</v>
      </c>
      <c r="N627" s="109">
        <v>0.06</v>
      </c>
      <c r="O627" s="110" t="s">
        <v>1318</v>
      </c>
      <c r="P627" s="114"/>
    </row>
    <row r="628" ht="14.25" spans="12:16">
      <c r="L628" s="114"/>
      <c r="M628" s="44">
        <v>2698</v>
      </c>
      <c r="N628" s="109">
        <v>0.06</v>
      </c>
      <c r="O628" s="110" t="s">
        <v>1319</v>
      </c>
      <c r="P628" s="114"/>
    </row>
    <row r="629" ht="14.25" spans="12:16">
      <c r="L629" s="114"/>
      <c r="M629" s="44">
        <v>2582</v>
      </c>
      <c r="N629" s="109">
        <v>0.06</v>
      </c>
      <c r="O629" s="110" t="s">
        <v>1320</v>
      </c>
      <c r="P629" s="114"/>
    </row>
    <row r="630" ht="14.25" spans="12:16">
      <c r="L630" s="114"/>
      <c r="M630" s="44">
        <v>3233</v>
      </c>
      <c r="N630" s="109">
        <v>0.06</v>
      </c>
      <c r="O630" s="110" t="s">
        <v>1321</v>
      </c>
      <c r="P630" s="114"/>
    </row>
    <row r="631" ht="14.25" spans="12:16">
      <c r="L631" s="114"/>
      <c r="M631" s="44">
        <v>3234</v>
      </c>
      <c r="N631" s="109">
        <v>0.06</v>
      </c>
      <c r="O631" s="110" t="s">
        <v>1322</v>
      </c>
      <c r="P631" s="114"/>
    </row>
    <row r="632" ht="14.25" spans="12:16">
      <c r="L632" s="114"/>
      <c r="M632" s="44">
        <v>2590</v>
      </c>
      <c r="N632" s="109">
        <v>0.06</v>
      </c>
      <c r="O632" s="110" t="s">
        <v>1323</v>
      </c>
      <c r="P632" s="114"/>
    </row>
    <row r="633" ht="14.25" spans="12:16">
      <c r="L633" s="114"/>
      <c r="M633" s="44">
        <v>2591</v>
      </c>
      <c r="N633" s="109">
        <v>0.06</v>
      </c>
      <c r="O633" s="110" t="s">
        <v>1324</v>
      </c>
      <c r="P633" s="114"/>
    </row>
    <row r="634" ht="14.25" spans="12:16">
      <c r="L634" s="114"/>
      <c r="M634" s="44">
        <v>2593</v>
      </c>
      <c r="N634" s="109">
        <v>0.06</v>
      </c>
      <c r="O634" s="110" t="s">
        <v>1325</v>
      </c>
      <c r="P634" s="114"/>
    </row>
    <row r="635" ht="14.25" spans="12:16">
      <c r="L635" s="114"/>
      <c r="M635" s="44">
        <v>2594</v>
      </c>
      <c r="N635" s="109">
        <v>0.06</v>
      </c>
      <c r="O635" s="110" t="s">
        <v>1326</v>
      </c>
      <c r="P635" s="114"/>
    </row>
    <row r="636" ht="14.25" spans="12:16">
      <c r="L636" s="114"/>
      <c r="M636" s="44">
        <v>2597</v>
      </c>
      <c r="N636" s="109">
        <v>0.06</v>
      </c>
      <c r="O636" s="110" t="s">
        <v>1327</v>
      </c>
      <c r="P636" s="114"/>
    </row>
    <row r="637" ht="14.25" spans="12:16">
      <c r="L637" s="114"/>
      <c r="M637" s="44">
        <v>2598</v>
      </c>
      <c r="N637" s="109">
        <v>0.06</v>
      </c>
      <c r="O637" s="110" t="s">
        <v>1328</v>
      </c>
      <c r="P637" s="114"/>
    </row>
    <row r="638" ht="14.25" spans="12:16">
      <c r="L638" s="114"/>
      <c r="M638" s="44">
        <v>2600</v>
      </c>
      <c r="N638" s="109">
        <v>0.06</v>
      </c>
      <c r="O638" s="110" t="s">
        <v>1329</v>
      </c>
      <c r="P638" s="114"/>
    </row>
    <row r="639" ht="14.25" spans="12:16">
      <c r="L639" s="114"/>
      <c r="M639" s="44">
        <v>2601</v>
      </c>
      <c r="N639" s="109">
        <v>0.06</v>
      </c>
      <c r="O639" s="110" t="s">
        <v>1330</v>
      </c>
      <c r="P639" s="114"/>
    </row>
    <row r="640" ht="14.25" spans="12:16">
      <c r="L640" s="114"/>
      <c r="M640" s="44">
        <v>2606</v>
      </c>
      <c r="N640" s="109">
        <v>0.06</v>
      </c>
      <c r="O640" s="110" t="s">
        <v>1331</v>
      </c>
      <c r="P640" s="114"/>
    </row>
    <row r="641" ht="14.25" spans="12:16">
      <c r="L641" s="114"/>
      <c r="M641" s="44">
        <v>2968</v>
      </c>
      <c r="N641" s="109">
        <v>0.06</v>
      </c>
      <c r="O641" s="110" t="s">
        <v>1332</v>
      </c>
      <c r="P641" s="114"/>
    </row>
    <row r="642" ht="14.25" spans="12:16">
      <c r="L642" s="114"/>
      <c r="M642" s="44">
        <v>2666</v>
      </c>
      <c r="N642" s="109">
        <v>0.06</v>
      </c>
      <c r="O642" s="110" t="s">
        <v>1333</v>
      </c>
      <c r="P642" s="114"/>
    </row>
    <row r="643" ht="14.25" spans="12:16">
      <c r="L643" s="114"/>
      <c r="M643" s="44">
        <v>2612</v>
      </c>
      <c r="N643" s="109">
        <v>0.06</v>
      </c>
      <c r="O643" s="110" t="s">
        <v>1334</v>
      </c>
      <c r="P643" s="114"/>
    </row>
    <row r="644" ht="14.25" spans="12:16">
      <c r="L644" s="114"/>
      <c r="M644" s="44">
        <v>2613</v>
      </c>
      <c r="N644" s="109">
        <v>0.06</v>
      </c>
      <c r="O644" s="110" t="s">
        <v>1335</v>
      </c>
      <c r="P644" s="114"/>
    </row>
    <row r="645" ht="14.25" spans="12:16">
      <c r="L645" s="114"/>
      <c r="M645" s="44">
        <v>2615</v>
      </c>
      <c r="N645" s="109">
        <v>0.06</v>
      </c>
      <c r="O645" s="110" t="s">
        <v>1336</v>
      </c>
      <c r="P645" s="114"/>
    </row>
    <row r="646" ht="14.25" spans="12:16">
      <c r="L646" s="114"/>
      <c r="M646" s="44">
        <v>2616</v>
      </c>
      <c r="N646" s="109">
        <v>0.06</v>
      </c>
      <c r="O646" s="110" t="s">
        <v>1337</v>
      </c>
      <c r="P646" s="114"/>
    </row>
    <row r="647" ht="14.25" spans="12:16">
      <c r="L647" s="114"/>
      <c r="M647" s="44">
        <v>3180</v>
      </c>
      <c r="N647" s="109">
        <v>0.06</v>
      </c>
      <c r="O647" s="110" t="s">
        <v>1338</v>
      </c>
      <c r="P647" s="114"/>
    </row>
    <row r="648" ht="14.25" spans="12:16">
      <c r="L648" s="114"/>
      <c r="M648" s="44">
        <v>3181</v>
      </c>
      <c r="N648" s="109">
        <v>0.06</v>
      </c>
      <c r="O648" s="110" t="s">
        <v>1339</v>
      </c>
      <c r="P648" s="114"/>
    </row>
    <row r="649" ht="14.25" spans="12:16">
      <c r="L649" s="114"/>
      <c r="M649" s="44">
        <v>3139</v>
      </c>
      <c r="N649" s="109">
        <v>0.06</v>
      </c>
      <c r="O649" s="110" t="s">
        <v>1340</v>
      </c>
      <c r="P649" s="114"/>
    </row>
    <row r="650" ht="14.25" spans="12:16">
      <c r="L650" s="114"/>
      <c r="M650" s="44">
        <v>3141</v>
      </c>
      <c r="N650" s="109">
        <v>0.06</v>
      </c>
      <c r="O650" s="110" t="s">
        <v>1341</v>
      </c>
      <c r="P650" s="114"/>
    </row>
    <row r="651" ht="14.25" spans="12:16">
      <c r="L651" s="114"/>
      <c r="M651" s="44">
        <v>3142</v>
      </c>
      <c r="N651" s="109">
        <v>0.06</v>
      </c>
      <c r="O651" s="110" t="s">
        <v>1342</v>
      </c>
      <c r="P651" s="114"/>
    </row>
    <row r="652" ht="14.25" spans="12:16">
      <c r="L652" s="114"/>
      <c r="M652" s="44">
        <v>3182</v>
      </c>
      <c r="N652" s="109">
        <v>0.06</v>
      </c>
      <c r="O652" s="110" t="s">
        <v>1343</v>
      </c>
      <c r="P652" s="114"/>
    </row>
    <row r="653" ht="14.25" spans="12:16">
      <c r="L653" s="114"/>
      <c r="M653" s="44">
        <v>3183</v>
      </c>
      <c r="N653" s="109">
        <v>0.06</v>
      </c>
      <c r="O653" s="110" t="s">
        <v>1344</v>
      </c>
      <c r="P653" s="114"/>
    </row>
    <row r="654" ht="14.25" spans="12:16">
      <c r="L654" s="114"/>
      <c r="M654" s="44">
        <v>2756</v>
      </c>
      <c r="N654" s="109">
        <v>0.06</v>
      </c>
      <c r="O654" s="110" t="s">
        <v>1345</v>
      </c>
      <c r="P654" s="114"/>
    </row>
    <row r="655" ht="14.25" spans="12:16">
      <c r="L655" s="114"/>
      <c r="M655" s="44">
        <v>3153</v>
      </c>
      <c r="N655" s="109">
        <v>0.06</v>
      </c>
      <c r="O655" s="110" t="s">
        <v>1346</v>
      </c>
      <c r="P655" s="114"/>
    </row>
    <row r="656" ht="14.25" spans="12:16">
      <c r="L656" s="114"/>
      <c r="M656" s="44">
        <v>3154</v>
      </c>
      <c r="N656" s="109">
        <v>0.06</v>
      </c>
      <c r="O656" s="110" t="s">
        <v>1347</v>
      </c>
      <c r="P656" s="114"/>
    </row>
    <row r="657" ht="14.25" spans="12:16">
      <c r="L657" s="114"/>
      <c r="M657" s="44">
        <v>3184</v>
      </c>
      <c r="N657" s="109">
        <v>0.06</v>
      </c>
      <c r="O657" s="110" t="s">
        <v>1348</v>
      </c>
      <c r="P657" s="114"/>
    </row>
    <row r="658" ht="14.25" spans="12:16">
      <c r="L658" s="114"/>
      <c r="M658" s="44">
        <v>2649</v>
      </c>
      <c r="N658" s="109">
        <v>0.06</v>
      </c>
      <c r="O658" s="110" t="s">
        <v>1349</v>
      </c>
      <c r="P658" s="114"/>
    </row>
    <row r="659" ht="14.25" spans="12:16">
      <c r="L659" s="114"/>
      <c r="M659" s="44">
        <v>2652</v>
      </c>
      <c r="N659" s="109">
        <v>0.06</v>
      </c>
      <c r="O659" s="110" t="s">
        <v>1350</v>
      </c>
      <c r="P659" s="114"/>
    </row>
    <row r="660" ht="14.25" spans="12:16">
      <c r="L660" s="114"/>
      <c r="M660" s="44">
        <v>2603</v>
      </c>
      <c r="N660" s="109">
        <v>0.06</v>
      </c>
      <c r="O660" s="110" t="s">
        <v>1351</v>
      </c>
      <c r="P660" s="114"/>
    </row>
    <row r="661" ht="14.25" spans="12:16">
      <c r="L661" s="114"/>
      <c r="M661" s="44">
        <v>3185</v>
      </c>
      <c r="N661" s="109">
        <v>0.06</v>
      </c>
      <c r="O661" s="110" t="s">
        <v>1352</v>
      </c>
      <c r="P661" s="114"/>
    </row>
    <row r="662" ht="14.25" spans="12:16">
      <c r="L662" s="114"/>
      <c r="M662" s="44">
        <v>3186</v>
      </c>
      <c r="N662" s="109">
        <v>0.06</v>
      </c>
      <c r="O662" s="110" t="s">
        <v>1353</v>
      </c>
      <c r="P662" s="114"/>
    </row>
    <row r="663" ht="14.25" spans="12:16">
      <c r="L663" s="114"/>
      <c r="M663" s="44">
        <v>3188</v>
      </c>
      <c r="N663" s="109" t="s">
        <v>1129</v>
      </c>
      <c r="O663" s="110" t="s">
        <v>1354</v>
      </c>
      <c r="P663" s="114"/>
    </row>
    <row r="664" ht="14.25" spans="12:16">
      <c r="L664" s="114"/>
      <c r="M664" s="44">
        <v>3022</v>
      </c>
      <c r="N664" s="109" t="s">
        <v>1129</v>
      </c>
      <c r="O664" s="110" t="s">
        <v>1355</v>
      </c>
      <c r="P664" s="114"/>
    </row>
    <row r="665" ht="14.25" spans="12:16">
      <c r="L665" s="114"/>
      <c r="M665" s="44">
        <v>3189</v>
      </c>
      <c r="N665" s="109" t="s">
        <v>1129</v>
      </c>
      <c r="O665" s="110" t="s">
        <v>1356</v>
      </c>
      <c r="P665" s="114"/>
    </row>
    <row r="666" ht="14.25" spans="12:16">
      <c r="L666" s="114"/>
      <c r="M666" s="44">
        <v>1843</v>
      </c>
      <c r="N666" s="109" t="s">
        <v>1129</v>
      </c>
      <c r="O666" s="110" t="s">
        <v>1357</v>
      </c>
      <c r="P666" s="114"/>
    </row>
    <row r="667" ht="14.25" spans="12:16">
      <c r="L667" s="114"/>
      <c r="M667" s="44">
        <v>2775</v>
      </c>
      <c r="N667" s="109" t="s">
        <v>1129</v>
      </c>
      <c r="O667" s="110" t="s">
        <v>1358</v>
      </c>
      <c r="P667" s="114"/>
    </row>
    <row r="668" ht="14.25" spans="12:16">
      <c r="L668" s="114"/>
      <c r="M668" s="44">
        <v>2776</v>
      </c>
      <c r="N668" s="109" t="s">
        <v>1129</v>
      </c>
      <c r="O668" s="110" t="s">
        <v>1359</v>
      </c>
      <c r="P668" s="114"/>
    </row>
    <row r="669" ht="14.25" spans="12:16">
      <c r="L669" s="114"/>
      <c r="M669" s="44">
        <v>2947</v>
      </c>
      <c r="N669" s="109" t="s">
        <v>1129</v>
      </c>
      <c r="O669" s="110" t="s">
        <v>1360</v>
      </c>
      <c r="P669" s="114"/>
    </row>
    <row r="670" ht="14.25" spans="12:16">
      <c r="L670" s="114"/>
      <c r="M670" s="44">
        <v>3035</v>
      </c>
      <c r="N670" s="109" t="s">
        <v>1129</v>
      </c>
      <c r="O670" s="110" t="s">
        <v>1361</v>
      </c>
      <c r="P670" s="114"/>
    </row>
    <row r="671" ht="14.25" spans="12:16">
      <c r="L671" s="114"/>
      <c r="M671" s="44">
        <v>3191</v>
      </c>
      <c r="N671" s="109" t="s">
        <v>1129</v>
      </c>
      <c r="O671" s="110" t="s">
        <v>1362</v>
      </c>
      <c r="P671" s="114"/>
    </row>
    <row r="672" ht="14.25" spans="12:16">
      <c r="L672" s="114"/>
      <c r="M672" s="44">
        <v>2919</v>
      </c>
      <c r="N672" s="109">
        <v>0.06</v>
      </c>
      <c r="O672" s="110" t="s">
        <v>1363</v>
      </c>
      <c r="P672" s="114"/>
    </row>
    <row r="673" ht="14.25" spans="12:16">
      <c r="L673" s="114"/>
      <c r="M673" s="44">
        <v>2920</v>
      </c>
      <c r="N673" s="109">
        <v>0.06</v>
      </c>
      <c r="O673" s="110" t="s">
        <v>1364</v>
      </c>
      <c r="P673" s="114"/>
    </row>
    <row r="674" ht="14.25" spans="12:16">
      <c r="L674" s="114"/>
      <c r="M674" s="44">
        <v>2894</v>
      </c>
      <c r="N674" s="109">
        <v>0.06</v>
      </c>
      <c r="O674" s="110" t="s">
        <v>1365</v>
      </c>
      <c r="P674" s="114"/>
    </row>
    <row r="675" ht="14.25" spans="12:16">
      <c r="L675" s="114"/>
      <c r="M675" s="44">
        <v>3036</v>
      </c>
      <c r="N675" s="109">
        <v>0.06</v>
      </c>
      <c r="O675" s="110" t="s">
        <v>1366</v>
      </c>
      <c r="P675" s="114"/>
    </row>
    <row r="676" ht="14.25" spans="12:16">
      <c r="L676" s="114"/>
      <c r="M676" s="44">
        <v>2924</v>
      </c>
      <c r="N676" s="109">
        <v>0.06</v>
      </c>
      <c r="O676" s="110" t="s">
        <v>1367</v>
      </c>
      <c r="P676" s="114"/>
    </row>
    <row r="677" ht="14.25" spans="12:16">
      <c r="L677" s="114"/>
      <c r="M677" s="44">
        <v>2925</v>
      </c>
      <c r="N677" s="109">
        <v>0.06</v>
      </c>
      <c r="O677" s="110" t="s">
        <v>1368</v>
      </c>
      <c r="P677" s="114"/>
    </row>
    <row r="678" ht="14.25" spans="12:16">
      <c r="L678" s="114"/>
      <c r="M678" s="44">
        <v>3037</v>
      </c>
      <c r="N678" s="109">
        <v>0.06</v>
      </c>
      <c r="O678" s="110" t="s">
        <v>1369</v>
      </c>
      <c r="P678" s="114"/>
    </row>
    <row r="679" ht="14.25" spans="12:16">
      <c r="L679" s="114"/>
      <c r="M679" s="44">
        <v>2927</v>
      </c>
      <c r="N679" s="109">
        <v>0.06</v>
      </c>
      <c r="O679" s="110" t="s">
        <v>1370</v>
      </c>
      <c r="P679" s="114"/>
    </row>
    <row r="680" ht="14.25" spans="12:16">
      <c r="L680" s="114"/>
      <c r="M680" s="44">
        <v>2782</v>
      </c>
      <c r="N680" s="109">
        <v>0.06</v>
      </c>
      <c r="O680" s="110" t="s">
        <v>1371</v>
      </c>
      <c r="P680" s="114"/>
    </row>
    <row r="681" ht="14.25" spans="12:16">
      <c r="L681" s="114"/>
      <c r="M681" s="44">
        <v>2783</v>
      </c>
      <c r="N681" s="109">
        <v>0.06</v>
      </c>
      <c r="O681" s="110" t="s">
        <v>1372</v>
      </c>
      <c r="P681" s="114"/>
    </row>
    <row r="682" ht="14.25" spans="12:16">
      <c r="L682" s="114"/>
      <c r="M682" s="44">
        <v>2785</v>
      </c>
      <c r="N682" s="109">
        <v>0.06</v>
      </c>
      <c r="O682" s="110" t="s">
        <v>1373</v>
      </c>
      <c r="P682" s="114"/>
    </row>
    <row r="683" ht="14.25" spans="12:16">
      <c r="L683" s="114"/>
      <c r="M683" s="44">
        <v>2786</v>
      </c>
      <c r="N683" s="109">
        <v>0.06</v>
      </c>
      <c r="O683" s="110" t="s">
        <v>1374</v>
      </c>
      <c r="P683" s="114"/>
    </row>
    <row r="684" ht="14.25" spans="12:16">
      <c r="L684" s="114"/>
      <c r="M684" s="44">
        <v>2787</v>
      </c>
      <c r="N684" s="109">
        <v>0.06</v>
      </c>
      <c r="O684" s="110" t="s">
        <v>1375</v>
      </c>
      <c r="P684" s="114"/>
    </row>
    <row r="685" ht="14.25" spans="12:16">
      <c r="L685" s="114"/>
      <c r="M685" s="44">
        <v>2788</v>
      </c>
      <c r="N685" s="109">
        <v>0.06</v>
      </c>
      <c r="O685" s="110" t="s">
        <v>1376</v>
      </c>
      <c r="P685" s="114"/>
    </row>
    <row r="686" ht="14.25" spans="12:16">
      <c r="L686" s="114"/>
      <c r="M686" s="44">
        <v>2789</v>
      </c>
      <c r="N686" s="109">
        <v>0.06</v>
      </c>
      <c r="O686" s="110" t="s">
        <v>1377</v>
      </c>
      <c r="P686" s="114"/>
    </row>
    <row r="687" ht="14.25" spans="12:16">
      <c r="L687" s="114"/>
      <c r="M687" s="44">
        <v>2790</v>
      </c>
      <c r="N687" s="109">
        <v>0.06</v>
      </c>
      <c r="O687" s="110" t="s">
        <v>1378</v>
      </c>
      <c r="P687" s="114"/>
    </row>
    <row r="688" ht="14.25" spans="12:16">
      <c r="L688" s="114"/>
      <c r="M688" s="44">
        <v>2791</v>
      </c>
      <c r="N688" s="109">
        <v>0.06</v>
      </c>
      <c r="O688" s="110" t="s">
        <v>1379</v>
      </c>
      <c r="P688" s="114"/>
    </row>
    <row r="689" ht="14.25" spans="12:16">
      <c r="L689" s="114"/>
      <c r="M689" s="44">
        <v>2792</v>
      </c>
      <c r="N689" s="109">
        <v>0.06</v>
      </c>
      <c r="O689" s="110" t="s">
        <v>1380</v>
      </c>
      <c r="P689" s="114"/>
    </row>
    <row r="690" ht="14.25" spans="12:16">
      <c r="L690" s="114"/>
      <c r="M690" s="44">
        <v>2793</v>
      </c>
      <c r="N690" s="109">
        <v>0.06</v>
      </c>
      <c r="O690" s="110" t="s">
        <v>1381</v>
      </c>
      <c r="P690" s="114"/>
    </row>
    <row r="691" ht="14.25" spans="12:16">
      <c r="L691" s="114"/>
      <c r="M691" s="44">
        <v>2794</v>
      </c>
      <c r="N691" s="109">
        <v>0.06</v>
      </c>
      <c r="O691" s="110" t="s">
        <v>1382</v>
      </c>
      <c r="P691" s="114"/>
    </row>
    <row r="692" ht="14.25" spans="12:16">
      <c r="L692" s="114"/>
      <c r="M692" s="44">
        <v>2795</v>
      </c>
      <c r="N692" s="109">
        <v>0.06</v>
      </c>
      <c r="O692" s="110" t="s">
        <v>1383</v>
      </c>
      <c r="P692" s="114"/>
    </row>
    <row r="693" ht="14.25" spans="12:16">
      <c r="L693" s="114"/>
      <c r="M693" s="44">
        <v>2796</v>
      </c>
      <c r="N693" s="109">
        <v>0.06</v>
      </c>
      <c r="O693" s="110" t="s">
        <v>1384</v>
      </c>
      <c r="P693" s="114"/>
    </row>
    <row r="694" ht="14.25" spans="12:16">
      <c r="L694" s="114"/>
      <c r="M694" s="44">
        <v>2797</v>
      </c>
      <c r="N694" s="109">
        <v>0.06</v>
      </c>
      <c r="O694" s="110" t="s">
        <v>1385</v>
      </c>
      <c r="P694" s="114"/>
    </row>
    <row r="695" ht="14.25" spans="12:16">
      <c r="L695" s="114"/>
      <c r="M695" s="44">
        <v>3038</v>
      </c>
      <c r="N695" s="109">
        <v>0.06</v>
      </c>
      <c r="O695" s="110" t="s">
        <v>1386</v>
      </c>
      <c r="P695" s="114"/>
    </row>
    <row r="696" ht="14.25" spans="12:16">
      <c r="L696" s="114"/>
      <c r="M696" s="44">
        <v>2798</v>
      </c>
      <c r="N696" s="109">
        <v>0.06</v>
      </c>
      <c r="O696" s="110" t="s">
        <v>1387</v>
      </c>
      <c r="P696" s="114"/>
    </row>
    <row r="697" ht="14.25" spans="12:16">
      <c r="L697" s="114"/>
      <c r="M697" s="44">
        <v>2802</v>
      </c>
      <c r="N697" s="109" t="s">
        <v>1129</v>
      </c>
      <c r="O697" s="110" t="s">
        <v>1388</v>
      </c>
      <c r="P697" s="114"/>
    </row>
    <row r="698" ht="14.25" spans="12:16">
      <c r="L698" s="114"/>
      <c r="M698" s="44">
        <v>3053</v>
      </c>
      <c r="N698" s="109" t="s">
        <v>1129</v>
      </c>
      <c r="O698" s="110" t="s">
        <v>1389</v>
      </c>
      <c r="P698" s="114"/>
    </row>
    <row r="699" ht="14.25" spans="12:16">
      <c r="L699" s="114"/>
      <c r="M699" s="44">
        <v>3054</v>
      </c>
      <c r="N699" s="109" t="s">
        <v>1129</v>
      </c>
      <c r="O699" s="110" t="s">
        <v>1390</v>
      </c>
      <c r="P699" s="114"/>
    </row>
    <row r="700" ht="14.25" spans="12:16">
      <c r="L700" s="114"/>
      <c r="M700" s="44">
        <v>2816</v>
      </c>
      <c r="N700" s="109" t="s">
        <v>1129</v>
      </c>
      <c r="O700" s="110" t="s">
        <v>1391</v>
      </c>
      <c r="P700" s="114"/>
    </row>
    <row r="701" ht="14.25" spans="12:16">
      <c r="L701" s="114"/>
      <c r="M701" s="44">
        <v>2820</v>
      </c>
      <c r="N701" s="109" t="s">
        <v>1129</v>
      </c>
      <c r="O701" s="110" t="s">
        <v>1392</v>
      </c>
      <c r="P701" s="114"/>
    </row>
    <row r="702" ht="14.25" spans="12:16">
      <c r="L702" s="114"/>
      <c r="M702" s="44">
        <v>3052</v>
      </c>
      <c r="N702" s="109" t="s">
        <v>1129</v>
      </c>
      <c r="O702" s="110" t="s">
        <v>1393</v>
      </c>
      <c r="P702" s="114"/>
    </row>
    <row r="703" ht="14.25" spans="12:16">
      <c r="L703" s="114"/>
      <c r="M703" s="44">
        <v>2870</v>
      </c>
      <c r="N703" s="109" t="s">
        <v>1129</v>
      </c>
      <c r="O703" s="110" t="s">
        <v>1394</v>
      </c>
      <c r="P703" s="114"/>
    </row>
    <row r="704" ht="14.25" spans="12:16">
      <c r="L704" s="114"/>
      <c r="M704" s="44">
        <v>2871</v>
      </c>
      <c r="N704" s="109" t="s">
        <v>1129</v>
      </c>
      <c r="O704" s="110" t="s">
        <v>1395</v>
      </c>
      <c r="P704" s="114"/>
    </row>
    <row r="705" ht="14.25" spans="12:16">
      <c r="L705" s="114"/>
      <c r="M705" s="44">
        <v>2872</v>
      </c>
      <c r="N705" s="109" t="s">
        <v>1129</v>
      </c>
      <c r="O705" s="110" t="s">
        <v>1396</v>
      </c>
      <c r="P705" s="114"/>
    </row>
    <row r="706" ht="14.25" spans="12:16">
      <c r="L706" s="114"/>
      <c r="M706" s="44">
        <v>2873</v>
      </c>
      <c r="N706" s="109" t="s">
        <v>1129</v>
      </c>
      <c r="O706" s="110" t="s">
        <v>1397</v>
      </c>
      <c r="P706" s="114"/>
    </row>
    <row r="707" ht="14.25" spans="12:16">
      <c r="L707" s="114"/>
      <c r="M707" s="44">
        <v>2874</v>
      </c>
      <c r="N707" s="109" t="s">
        <v>1129</v>
      </c>
      <c r="O707" s="110" t="s">
        <v>1398</v>
      </c>
      <c r="P707" s="114"/>
    </row>
    <row r="708" ht="14.25" spans="12:16">
      <c r="L708" s="114"/>
      <c r="M708" s="44">
        <v>2875</v>
      </c>
      <c r="N708" s="109" t="s">
        <v>1129</v>
      </c>
      <c r="O708" s="110" t="s">
        <v>1399</v>
      </c>
      <c r="P708" s="114"/>
    </row>
    <row r="709" ht="14.25" spans="12:16">
      <c r="L709" s="114"/>
      <c r="M709" s="44">
        <v>2876</v>
      </c>
      <c r="N709" s="109" t="s">
        <v>1129</v>
      </c>
      <c r="O709" s="110" t="s">
        <v>1400</v>
      </c>
      <c r="P709" s="114"/>
    </row>
    <row r="710" ht="14.25" spans="12:16">
      <c r="L710" s="114"/>
      <c r="M710" s="44">
        <v>2877</v>
      </c>
      <c r="N710" s="109" t="s">
        <v>1129</v>
      </c>
      <c r="O710" s="110" t="s">
        <v>1401</v>
      </c>
      <c r="P710" s="114"/>
    </row>
    <row r="711" ht="14.25" spans="12:16">
      <c r="L711" s="114"/>
      <c r="M711" s="44">
        <v>2878</v>
      </c>
      <c r="N711" s="109" t="s">
        <v>1129</v>
      </c>
      <c r="O711" s="110" t="s">
        <v>1402</v>
      </c>
      <c r="P711" s="114"/>
    </row>
    <row r="712" ht="14.25" spans="12:16">
      <c r="L712" s="114"/>
      <c r="M712" s="44">
        <v>2879</v>
      </c>
      <c r="N712" s="109" t="s">
        <v>1129</v>
      </c>
      <c r="O712" s="110" t="s">
        <v>1403</v>
      </c>
      <c r="P712" s="114"/>
    </row>
    <row r="713" ht="14.25" spans="12:16">
      <c r="L713" s="114"/>
      <c r="M713" s="44">
        <v>2880</v>
      </c>
      <c r="N713" s="109" t="s">
        <v>1129</v>
      </c>
      <c r="O713" s="110" t="s">
        <v>1404</v>
      </c>
      <c r="P713" s="114"/>
    </row>
    <row r="714" ht="14.25" spans="12:16">
      <c r="L714" s="114"/>
      <c r="M714" s="44">
        <v>2881</v>
      </c>
      <c r="N714" s="109" t="s">
        <v>1129</v>
      </c>
      <c r="O714" s="110" t="s">
        <v>1405</v>
      </c>
      <c r="P714" s="114"/>
    </row>
    <row r="715" ht="14.25" spans="12:16">
      <c r="L715" s="114"/>
      <c r="M715" s="44">
        <v>2882</v>
      </c>
      <c r="N715" s="109" t="s">
        <v>1129</v>
      </c>
      <c r="O715" s="110" t="s">
        <v>1406</v>
      </c>
      <c r="P715" s="114"/>
    </row>
    <row r="716" ht="14.25" spans="12:16">
      <c r="L716" s="114"/>
      <c r="M716" s="44">
        <v>2883</v>
      </c>
      <c r="N716" s="109" t="s">
        <v>1129</v>
      </c>
      <c r="O716" s="110" t="s">
        <v>1407</v>
      </c>
      <c r="P716" s="114"/>
    </row>
    <row r="717" ht="14.25" spans="12:16">
      <c r="L717" s="114"/>
      <c r="M717" s="44">
        <v>2884</v>
      </c>
      <c r="N717" s="109" t="s">
        <v>1129</v>
      </c>
      <c r="O717" s="110" t="s">
        <v>1408</v>
      </c>
      <c r="P717" s="114"/>
    </row>
    <row r="718" ht="14.25" spans="12:16">
      <c r="L718" s="114"/>
      <c r="M718" s="44">
        <v>2822</v>
      </c>
      <c r="N718" s="109" t="s">
        <v>1129</v>
      </c>
      <c r="O718" s="110" t="s">
        <v>1409</v>
      </c>
      <c r="P718" s="114"/>
    </row>
    <row r="719" ht="14.25" spans="12:16">
      <c r="L719" s="114"/>
      <c r="M719" s="44">
        <v>3195</v>
      </c>
      <c r="N719" s="109" t="s">
        <v>1129</v>
      </c>
      <c r="O719" s="110" t="s">
        <v>1410</v>
      </c>
      <c r="P719" s="114"/>
    </row>
    <row r="720" ht="14.25" spans="12:16">
      <c r="L720" s="114"/>
      <c r="M720" s="44">
        <v>2833</v>
      </c>
      <c r="N720" s="109" t="s">
        <v>1129</v>
      </c>
      <c r="O720" s="110" t="s">
        <v>1411</v>
      </c>
      <c r="P720" s="114"/>
    </row>
    <row r="721" ht="14.25" spans="12:16">
      <c r="L721" s="114"/>
      <c r="M721" s="44">
        <v>1433</v>
      </c>
      <c r="N721" s="109">
        <v>0.06</v>
      </c>
      <c r="O721" s="110" t="s">
        <v>1412</v>
      </c>
      <c r="P721" s="114"/>
    </row>
    <row r="722" ht="14.25" spans="12:16">
      <c r="L722" s="114"/>
      <c r="M722" s="44">
        <v>2548</v>
      </c>
      <c r="N722" s="109">
        <v>0.06</v>
      </c>
      <c r="O722" s="110" t="s">
        <v>1413</v>
      </c>
      <c r="P722" s="114"/>
    </row>
    <row r="723" ht="14.25" spans="12:16">
      <c r="L723" s="114"/>
      <c r="M723" s="44">
        <v>2446</v>
      </c>
      <c r="N723" s="109">
        <v>0.06</v>
      </c>
      <c r="O723" s="110" t="s">
        <v>1414</v>
      </c>
      <c r="P723" s="114"/>
    </row>
    <row r="724" ht="14.25" spans="12:16">
      <c r="L724" s="114"/>
      <c r="M724" s="44">
        <v>2447</v>
      </c>
      <c r="N724" s="109">
        <v>0.06</v>
      </c>
      <c r="O724" s="110" t="s">
        <v>1415</v>
      </c>
      <c r="P724" s="114"/>
    </row>
    <row r="725" ht="14.25" spans="12:16">
      <c r="L725" s="114"/>
      <c r="M725" s="44">
        <v>2448</v>
      </c>
      <c r="N725" s="109">
        <v>0.06</v>
      </c>
      <c r="O725" s="110" t="s">
        <v>1416</v>
      </c>
      <c r="P725" s="114"/>
    </row>
    <row r="726" ht="14.25" spans="12:16">
      <c r="L726" s="114"/>
      <c r="M726" s="44">
        <v>2449</v>
      </c>
      <c r="N726" s="109">
        <v>0.06</v>
      </c>
      <c r="O726" s="110" t="s">
        <v>1417</v>
      </c>
      <c r="P726" s="114"/>
    </row>
    <row r="727" ht="14.25" spans="12:16">
      <c r="L727" s="114"/>
      <c r="M727" s="44">
        <v>2838</v>
      </c>
      <c r="N727" s="109">
        <v>0.06</v>
      </c>
      <c r="O727" s="110" t="s">
        <v>1418</v>
      </c>
      <c r="P727" s="114"/>
    </row>
    <row r="728" ht="14.25" spans="12:16">
      <c r="L728" s="114"/>
      <c r="M728" s="44">
        <v>2839</v>
      </c>
      <c r="N728" s="109">
        <v>0.06</v>
      </c>
      <c r="O728" s="110" t="s">
        <v>1419</v>
      </c>
      <c r="P728" s="114"/>
    </row>
    <row r="729" ht="14.25" spans="12:16">
      <c r="L729" s="114"/>
      <c r="M729" s="44">
        <v>2949</v>
      </c>
      <c r="N729" s="109">
        <v>0.06</v>
      </c>
      <c r="O729" s="110" t="s">
        <v>1420</v>
      </c>
      <c r="P729" s="114"/>
    </row>
    <row r="730" ht="14.25" spans="12:16">
      <c r="L730" s="114"/>
      <c r="M730" s="44">
        <v>3040</v>
      </c>
      <c r="N730" s="109">
        <v>0.06</v>
      </c>
      <c r="O730" s="110" t="s">
        <v>1421</v>
      </c>
      <c r="P730" s="114"/>
    </row>
    <row r="731" ht="14.25" spans="12:16">
      <c r="L731" s="114"/>
      <c r="M731" s="44">
        <v>3041</v>
      </c>
      <c r="N731" s="109">
        <v>0.06</v>
      </c>
      <c r="O731" s="110" t="s">
        <v>1422</v>
      </c>
      <c r="P731" s="114"/>
    </row>
    <row r="732" ht="14.25" spans="12:16">
      <c r="L732" s="114"/>
      <c r="M732" s="44">
        <v>2842</v>
      </c>
      <c r="N732" s="109">
        <v>0.06</v>
      </c>
      <c r="O732" s="110" t="s">
        <v>1423</v>
      </c>
      <c r="P732" s="114"/>
    </row>
    <row r="733" ht="14.25" spans="12:16">
      <c r="L733" s="114"/>
      <c r="M733" s="44">
        <v>3044</v>
      </c>
      <c r="N733" s="109">
        <v>0.06</v>
      </c>
      <c r="O733" s="110" t="s">
        <v>1424</v>
      </c>
      <c r="P733" s="114"/>
    </row>
    <row r="734" ht="14.25" spans="12:16">
      <c r="L734" s="114"/>
      <c r="M734" s="44">
        <v>3045</v>
      </c>
      <c r="N734" s="109" t="s">
        <v>1129</v>
      </c>
      <c r="O734" s="110" t="s">
        <v>1425</v>
      </c>
      <c r="P734" s="114"/>
    </row>
    <row r="735" ht="14.25" spans="12:16">
      <c r="L735" s="114"/>
      <c r="M735" s="44">
        <v>1918</v>
      </c>
      <c r="N735" s="109">
        <v>0.06</v>
      </c>
      <c r="O735" s="110" t="s">
        <v>1426</v>
      </c>
      <c r="P735" s="114"/>
    </row>
    <row r="736" ht="14.25" spans="12:16">
      <c r="L736" s="114"/>
      <c r="M736" s="44">
        <v>1920</v>
      </c>
      <c r="N736" s="109">
        <v>0.06</v>
      </c>
      <c r="O736" s="110" t="s">
        <v>1427</v>
      </c>
      <c r="P736" s="114"/>
    </row>
    <row r="737" ht="14.25" spans="12:16">
      <c r="L737" s="114"/>
      <c r="M737" s="44">
        <v>1921</v>
      </c>
      <c r="N737" s="109">
        <v>0.06</v>
      </c>
      <c r="O737" s="110" t="s">
        <v>1428</v>
      </c>
      <c r="P737" s="114"/>
    </row>
    <row r="738" ht="14.25" spans="12:16">
      <c r="L738" s="114"/>
      <c r="M738" s="44">
        <v>1922</v>
      </c>
      <c r="N738" s="109">
        <v>0.06</v>
      </c>
      <c r="O738" s="110" t="s">
        <v>1429</v>
      </c>
      <c r="P738" s="114"/>
    </row>
    <row r="739" ht="14.25" spans="12:16">
      <c r="L739" s="114"/>
      <c r="M739" s="44">
        <v>1923</v>
      </c>
      <c r="N739" s="109">
        <v>0.06</v>
      </c>
      <c r="O739" s="110" t="s">
        <v>1430</v>
      </c>
      <c r="P739" s="114"/>
    </row>
    <row r="740" ht="14.25" spans="12:16">
      <c r="L740" s="114"/>
      <c r="M740" s="44">
        <v>1925</v>
      </c>
      <c r="N740" s="109">
        <v>0.06</v>
      </c>
      <c r="O740" s="110" t="s">
        <v>1431</v>
      </c>
      <c r="P740" s="114"/>
    </row>
    <row r="741" ht="14.25" spans="12:16">
      <c r="L741" s="114"/>
      <c r="M741" s="44">
        <v>1926</v>
      </c>
      <c r="N741" s="109">
        <v>0.06</v>
      </c>
      <c r="O741" s="110" t="s">
        <v>1432</v>
      </c>
      <c r="P741" s="114"/>
    </row>
    <row r="742" ht="14.25" spans="12:16">
      <c r="L742" s="114"/>
      <c r="M742" s="44">
        <v>1927</v>
      </c>
      <c r="N742" s="109">
        <v>0.06</v>
      </c>
      <c r="O742" s="110" t="s">
        <v>1433</v>
      </c>
      <c r="P742" s="114"/>
    </row>
    <row r="743" ht="14.25" spans="12:16">
      <c r="L743" s="114"/>
      <c r="M743" s="44">
        <v>1929</v>
      </c>
      <c r="N743" s="109">
        <v>0.06</v>
      </c>
      <c r="O743" s="110" t="s">
        <v>1434</v>
      </c>
      <c r="P743" s="114"/>
    </row>
    <row r="744" ht="14.25" spans="12:16">
      <c r="L744" s="114"/>
      <c r="M744" s="44">
        <v>1930</v>
      </c>
      <c r="N744" s="109">
        <v>0.06</v>
      </c>
      <c r="O744" s="110" t="s">
        <v>1435</v>
      </c>
      <c r="P744" s="114"/>
    </row>
    <row r="745" ht="14.25" spans="12:16">
      <c r="L745" s="114"/>
      <c r="M745" s="44">
        <v>1931</v>
      </c>
      <c r="N745" s="109">
        <v>0.06</v>
      </c>
      <c r="O745" s="110" t="s">
        <v>1436</v>
      </c>
      <c r="P745" s="114"/>
    </row>
    <row r="746" ht="14.25" spans="12:16">
      <c r="L746" s="114"/>
      <c r="M746" s="44">
        <v>1932</v>
      </c>
      <c r="N746" s="109">
        <v>0.06</v>
      </c>
      <c r="O746" s="110" t="s">
        <v>1437</v>
      </c>
      <c r="P746" s="114"/>
    </row>
    <row r="747" ht="14.25" spans="12:16">
      <c r="L747" s="114"/>
      <c r="M747" s="44">
        <v>2850</v>
      </c>
      <c r="N747" s="109">
        <v>0.06</v>
      </c>
      <c r="O747" s="110" t="s">
        <v>1438</v>
      </c>
      <c r="P747" s="114"/>
    </row>
    <row r="748" ht="14.25" spans="12:16">
      <c r="L748" s="114"/>
      <c r="M748" s="44">
        <v>2851</v>
      </c>
      <c r="N748" s="109">
        <v>0.06</v>
      </c>
      <c r="O748" s="110" t="s">
        <v>1439</v>
      </c>
      <c r="P748" s="114"/>
    </row>
    <row r="749" ht="14.25" spans="12:16">
      <c r="L749" s="114"/>
      <c r="M749" s="44">
        <v>1933</v>
      </c>
      <c r="N749" s="109">
        <v>0.06</v>
      </c>
      <c r="O749" s="110" t="s">
        <v>1440</v>
      </c>
      <c r="P749" s="114"/>
    </row>
    <row r="750" ht="14.25" spans="12:16">
      <c r="L750" s="114"/>
      <c r="M750" s="44">
        <v>1935</v>
      </c>
      <c r="N750" s="109">
        <v>0.06</v>
      </c>
      <c r="O750" s="110" t="s">
        <v>1441</v>
      </c>
      <c r="P750" s="114"/>
    </row>
    <row r="751" ht="14.25" spans="12:16">
      <c r="L751" s="114"/>
      <c r="M751" s="44">
        <v>2687</v>
      </c>
      <c r="N751" s="109">
        <v>0.06</v>
      </c>
      <c r="O751" s="110" t="s">
        <v>1442</v>
      </c>
      <c r="P751" s="114"/>
    </row>
    <row r="752" ht="14.25" spans="12:16">
      <c r="L752" s="114"/>
      <c r="M752" s="44">
        <v>2931</v>
      </c>
      <c r="N752" s="109" t="s">
        <v>1129</v>
      </c>
      <c r="O752" s="110" t="s">
        <v>1443</v>
      </c>
      <c r="P752" s="114"/>
    </row>
    <row r="753" ht="14.25" spans="12:16">
      <c r="L753" s="114"/>
      <c r="M753" s="44">
        <v>1937</v>
      </c>
      <c r="N753" s="109" t="s">
        <v>1129</v>
      </c>
      <c r="O753" s="110" t="s">
        <v>1444</v>
      </c>
      <c r="P753" s="114"/>
    </row>
    <row r="754" ht="14.25" spans="12:16">
      <c r="L754" s="114"/>
      <c r="M754" s="44">
        <v>2852</v>
      </c>
      <c r="N754" s="109" t="s">
        <v>1129</v>
      </c>
      <c r="O754" s="110" t="s">
        <v>1445</v>
      </c>
      <c r="P754" s="114"/>
    </row>
    <row r="755" ht="14.25" spans="12:16">
      <c r="L755" s="114"/>
      <c r="M755" s="44">
        <v>2939</v>
      </c>
      <c r="N755" s="109" t="s">
        <v>1129</v>
      </c>
      <c r="O755" s="110" t="s">
        <v>1446</v>
      </c>
      <c r="P755" s="114"/>
    </row>
    <row r="756" ht="14.25" spans="12:16">
      <c r="L756" s="114"/>
      <c r="M756" s="44">
        <v>2942</v>
      </c>
      <c r="N756" s="109" t="s">
        <v>1129</v>
      </c>
      <c r="O756" s="110" t="s">
        <v>1447</v>
      </c>
      <c r="P756" s="114"/>
    </row>
    <row r="757" ht="14.25" spans="12:16">
      <c r="L757" s="114"/>
      <c r="M757" s="44">
        <v>1658</v>
      </c>
      <c r="N757" s="109">
        <v>0.06</v>
      </c>
      <c r="O757" s="110" t="s">
        <v>1448</v>
      </c>
      <c r="P757" s="114"/>
    </row>
    <row r="758" ht="14.25" spans="12:16">
      <c r="L758" s="114"/>
      <c r="M758" s="44">
        <v>1657</v>
      </c>
      <c r="N758" s="109">
        <v>0.06</v>
      </c>
      <c r="O758" s="110" t="s">
        <v>1449</v>
      </c>
      <c r="P758" s="114"/>
    </row>
    <row r="759" ht="14.25" spans="12:16">
      <c r="L759" s="114"/>
      <c r="M759" s="44">
        <v>1661</v>
      </c>
      <c r="N759" s="109">
        <v>0.06</v>
      </c>
      <c r="O759" s="110" t="s">
        <v>1450</v>
      </c>
      <c r="P759" s="114"/>
    </row>
    <row r="760" ht="14.25" spans="12:16">
      <c r="L760" s="114"/>
      <c r="M760" s="44">
        <v>1660</v>
      </c>
      <c r="N760" s="109">
        <v>0.06</v>
      </c>
      <c r="O760" s="110" t="s">
        <v>1451</v>
      </c>
      <c r="P760" s="114"/>
    </row>
    <row r="761" ht="14.25" spans="12:16">
      <c r="L761" s="114"/>
      <c r="M761" s="44">
        <v>1916</v>
      </c>
      <c r="N761" s="109">
        <v>0.06</v>
      </c>
      <c r="O761" s="110" t="s">
        <v>1452</v>
      </c>
      <c r="P761" s="114"/>
    </row>
    <row r="762" ht="14.25" spans="12:16">
      <c r="L762" s="114"/>
      <c r="M762" s="44">
        <v>1631</v>
      </c>
      <c r="N762" s="109">
        <v>0.06</v>
      </c>
      <c r="O762" s="110" t="s">
        <v>1453</v>
      </c>
      <c r="P762" s="114"/>
    </row>
    <row r="763" ht="14.25" spans="12:16">
      <c r="L763" s="114"/>
      <c r="M763" s="44">
        <v>1643</v>
      </c>
      <c r="N763" s="109">
        <v>0.06</v>
      </c>
      <c r="O763" s="110" t="s">
        <v>1454</v>
      </c>
      <c r="P763" s="114"/>
    </row>
    <row r="764" ht="14.25" spans="12:16">
      <c r="L764" s="114"/>
      <c r="M764" s="44">
        <v>2886</v>
      </c>
      <c r="N764" s="109">
        <v>0.06</v>
      </c>
      <c r="O764" s="110" t="s">
        <v>1455</v>
      </c>
      <c r="P764" s="114"/>
    </row>
    <row r="765" ht="14.25" spans="12:16">
      <c r="L765" s="114"/>
      <c r="M765" s="44">
        <v>2686</v>
      </c>
      <c r="N765" s="109">
        <v>0.06</v>
      </c>
      <c r="O765" s="110" t="s">
        <v>1456</v>
      </c>
      <c r="P765" s="114"/>
    </row>
    <row r="766" ht="14.25" spans="12:16">
      <c r="L766" s="114"/>
      <c r="M766" s="44">
        <v>2692</v>
      </c>
      <c r="N766" s="109">
        <v>0.06</v>
      </c>
      <c r="O766" s="110" t="s">
        <v>1457</v>
      </c>
      <c r="P766" s="114"/>
    </row>
    <row r="767" ht="14.25" spans="12:16">
      <c r="L767" s="114"/>
      <c r="M767" s="44">
        <v>2486</v>
      </c>
      <c r="N767" s="109">
        <v>0.06</v>
      </c>
      <c r="O767" s="110" t="s">
        <v>1458</v>
      </c>
      <c r="P767" s="114"/>
    </row>
    <row r="768" ht="14.25" spans="12:16">
      <c r="L768" s="114"/>
      <c r="M768" s="44">
        <v>1981</v>
      </c>
      <c r="N768" s="109">
        <v>0.06</v>
      </c>
      <c r="O768" s="110" t="s">
        <v>1459</v>
      </c>
      <c r="P768" s="114"/>
    </row>
    <row r="769" ht="14.25" spans="12:16">
      <c r="L769" s="114"/>
      <c r="M769" s="44">
        <v>2689</v>
      </c>
      <c r="N769" s="109">
        <v>0.06</v>
      </c>
      <c r="O769" s="110" t="s">
        <v>1460</v>
      </c>
      <c r="P769" s="114"/>
    </row>
    <row r="770" ht="14.25" spans="12:16">
      <c r="L770" s="114"/>
      <c r="M770" s="44">
        <v>2690</v>
      </c>
      <c r="N770" s="109">
        <v>0.06</v>
      </c>
      <c r="O770" s="110" t="s">
        <v>1461</v>
      </c>
      <c r="P770" s="114"/>
    </row>
    <row r="771" ht="14.25" spans="12:16">
      <c r="L771" s="114"/>
      <c r="M771" s="44">
        <v>2691</v>
      </c>
      <c r="N771" s="109">
        <v>0.06</v>
      </c>
      <c r="O771" s="110" t="s">
        <v>1462</v>
      </c>
      <c r="P771" s="114"/>
    </row>
    <row r="772" ht="14.25" spans="12:16">
      <c r="L772" s="114"/>
      <c r="M772" s="44">
        <v>1710</v>
      </c>
      <c r="N772" s="109">
        <v>0.06</v>
      </c>
      <c r="O772" s="110" t="s">
        <v>1463</v>
      </c>
      <c r="P772" s="114"/>
    </row>
    <row r="773" ht="14.25" spans="12:16">
      <c r="L773" s="114"/>
      <c r="M773" s="44">
        <v>2950</v>
      </c>
      <c r="N773" s="109">
        <v>0.06</v>
      </c>
      <c r="O773" s="110" t="s">
        <v>1464</v>
      </c>
      <c r="P773" s="114"/>
    </row>
    <row r="774" ht="14.25" spans="12:16">
      <c r="L774" s="114"/>
      <c r="M774" s="44">
        <v>1985</v>
      </c>
      <c r="N774" s="109">
        <v>0.06</v>
      </c>
      <c r="O774" s="110" t="s">
        <v>1465</v>
      </c>
      <c r="P774" s="114"/>
    </row>
    <row r="775" ht="14.25" spans="12:16">
      <c r="L775" s="114"/>
      <c r="M775" s="44">
        <v>2918</v>
      </c>
      <c r="N775" s="109">
        <v>0.06</v>
      </c>
      <c r="O775" s="110" t="s">
        <v>1466</v>
      </c>
      <c r="P775" s="114"/>
    </row>
    <row r="776" ht="14.25" spans="12:16">
      <c r="L776" s="114"/>
      <c r="M776" s="44">
        <v>2928</v>
      </c>
      <c r="N776" s="109">
        <v>0.06</v>
      </c>
      <c r="O776" s="110" t="s">
        <v>1467</v>
      </c>
      <c r="P776" s="114"/>
    </row>
    <row r="777" ht="14.25" spans="12:16">
      <c r="L777" s="114"/>
      <c r="M777" s="44">
        <v>2951</v>
      </c>
      <c r="N777" s="109" t="s">
        <v>1129</v>
      </c>
      <c r="O777" s="110" t="s">
        <v>1468</v>
      </c>
      <c r="P777" s="114"/>
    </row>
    <row r="778" ht="14.25" spans="12:16">
      <c r="L778" s="114"/>
      <c r="M778" s="44">
        <v>2952</v>
      </c>
      <c r="N778" s="109" t="s">
        <v>1129</v>
      </c>
      <c r="O778" s="110" t="s">
        <v>1469</v>
      </c>
      <c r="P778" s="114"/>
    </row>
    <row r="779" ht="14.25" spans="12:16">
      <c r="L779" s="114"/>
      <c r="M779" s="44">
        <v>1709</v>
      </c>
      <c r="N779" s="109">
        <v>0.06</v>
      </c>
      <c r="O779" s="110" t="s">
        <v>1470</v>
      </c>
      <c r="P779" s="114"/>
    </row>
    <row r="780" ht="14.25" spans="12:16">
      <c r="L780" s="114"/>
      <c r="M780" s="44">
        <v>3225</v>
      </c>
      <c r="N780" s="109" t="s">
        <v>1129</v>
      </c>
      <c r="O780" s="110" t="s">
        <v>1471</v>
      </c>
      <c r="P780" s="114"/>
    </row>
    <row r="781" ht="14.25" spans="12:16">
      <c r="L781" s="114"/>
      <c r="M781" s="44">
        <v>3226</v>
      </c>
      <c r="N781" s="109">
        <v>0.06</v>
      </c>
      <c r="O781" s="110" t="s">
        <v>1472</v>
      </c>
      <c r="P781" s="114"/>
    </row>
    <row r="782" ht="14.25" spans="12:16">
      <c r="L782" s="114"/>
      <c r="M782" s="44">
        <v>3227</v>
      </c>
      <c r="N782" s="109">
        <v>0.06</v>
      </c>
      <c r="O782" s="110" t="s">
        <v>1473</v>
      </c>
      <c r="P782" s="114"/>
    </row>
    <row r="783" ht="14.25" spans="12:16">
      <c r="L783" s="114"/>
      <c r="M783" s="44">
        <v>2973</v>
      </c>
      <c r="N783" s="109">
        <v>0.06</v>
      </c>
      <c r="O783" s="110" t="s">
        <v>1474</v>
      </c>
      <c r="P783" s="114"/>
    </row>
    <row r="784" ht="14.25" spans="12:16">
      <c r="L784" s="114"/>
      <c r="M784" s="44">
        <v>3192</v>
      </c>
      <c r="N784" s="109" t="s">
        <v>1475</v>
      </c>
      <c r="O784" s="110" t="s">
        <v>1476</v>
      </c>
      <c r="P784" s="114"/>
    </row>
    <row r="785" ht="14.25" spans="12:16">
      <c r="L785" s="114"/>
      <c r="M785" s="44">
        <v>2895</v>
      </c>
      <c r="N785" s="109" t="s">
        <v>1475</v>
      </c>
      <c r="O785" s="110" t="s">
        <v>1477</v>
      </c>
      <c r="P785" s="114"/>
    </row>
    <row r="786" ht="14.25" spans="12:16">
      <c r="L786" s="114"/>
      <c r="M786" s="44">
        <v>3150</v>
      </c>
      <c r="N786" s="109" t="s">
        <v>1475</v>
      </c>
      <c r="O786" s="110" t="s">
        <v>1478</v>
      </c>
      <c r="P786" s="114"/>
    </row>
    <row r="787" ht="14.25" spans="12:16">
      <c r="L787" s="114"/>
      <c r="M787" s="44">
        <v>2915</v>
      </c>
      <c r="N787" s="109" t="s">
        <v>1475</v>
      </c>
      <c r="O787" s="110" t="s">
        <v>1479</v>
      </c>
      <c r="P787" s="114"/>
    </row>
    <row r="788" ht="14.25" spans="12:16">
      <c r="L788" s="114"/>
      <c r="M788" s="44">
        <v>2916</v>
      </c>
      <c r="N788" s="109" t="s">
        <v>1475</v>
      </c>
      <c r="O788" s="110" t="s">
        <v>1480</v>
      </c>
      <c r="P788" s="114"/>
    </row>
    <row r="789" ht="14.25" spans="12:16">
      <c r="L789" s="114"/>
      <c r="M789" s="44">
        <v>2450</v>
      </c>
      <c r="N789" s="109" t="s">
        <v>1475</v>
      </c>
      <c r="O789" s="110" t="s">
        <v>1481</v>
      </c>
      <c r="P789" s="114"/>
    </row>
    <row r="790" ht="14.25" spans="12:16">
      <c r="L790" s="114"/>
      <c r="M790" s="44">
        <v>1677</v>
      </c>
      <c r="N790" s="109" t="s">
        <v>1475</v>
      </c>
      <c r="O790" s="110" t="s">
        <v>1482</v>
      </c>
      <c r="P790" s="114"/>
    </row>
    <row r="791" ht="14.25" spans="12:16">
      <c r="L791" s="114"/>
      <c r="M791" s="44">
        <v>2887</v>
      </c>
      <c r="N791" s="109">
        <v>0.06</v>
      </c>
      <c r="O791" s="110" t="s">
        <v>1483</v>
      </c>
      <c r="P791" s="114"/>
    </row>
    <row r="792" ht="14.25" spans="12:16">
      <c r="L792" s="114"/>
      <c r="M792" s="44">
        <v>1733</v>
      </c>
      <c r="N792" s="109">
        <v>0.06</v>
      </c>
      <c r="O792" s="110" t="s">
        <v>1484</v>
      </c>
      <c r="P792" s="114"/>
    </row>
    <row r="793" ht="14.25" spans="12:16">
      <c r="L793" s="114"/>
      <c r="M793" s="44">
        <v>3046</v>
      </c>
      <c r="N793" s="109">
        <v>0.06</v>
      </c>
      <c r="O793" s="110" t="s">
        <v>1485</v>
      </c>
      <c r="P793" s="114"/>
    </row>
    <row r="794" ht="14.25" spans="12:16">
      <c r="L794" s="114"/>
      <c r="M794" s="44">
        <v>3197</v>
      </c>
      <c r="N794" s="109">
        <v>0.13</v>
      </c>
      <c r="O794" s="110" t="s">
        <v>1486</v>
      </c>
      <c r="P794" s="114"/>
    </row>
    <row r="795" ht="14.25" spans="12:16">
      <c r="L795" s="114"/>
      <c r="M795" s="44">
        <v>3198</v>
      </c>
      <c r="N795" s="109">
        <v>0.13</v>
      </c>
      <c r="O795" s="110" t="s">
        <v>1487</v>
      </c>
      <c r="P795" s="114"/>
    </row>
    <row r="796" ht="14.25" spans="12:16">
      <c r="L796" s="114"/>
      <c r="M796" s="44">
        <v>3199</v>
      </c>
      <c r="N796" s="109">
        <v>0.13</v>
      </c>
      <c r="O796" s="110" t="s">
        <v>1488</v>
      </c>
      <c r="P796" s="114"/>
    </row>
    <row r="797" ht="14.25" spans="12:16">
      <c r="L797" s="114"/>
      <c r="M797" s="44">
        <v>3200</v>
      </c>
      <c r="N797" s="109">
        <v>0.13</v>
      </c>
      <c r="O797" s="110" t="s">
        <v>1489</v>
      </c>
      <c r="P797" s="114"/>
    </row>
    <row r="798" ht="14.25" spans="12:16">
      <c r="L798" s="114"/>
      <c r="M798" s="44">
        <v>3201</v>
      </c>
      <c r="N798" s="109">
        <v>0.13</v>
      </c>
      <c r="O798" s="110" t="s">
        <v>1490</v>
      </c>
      <c r="P798" s="114"/>
    </row>
    <row r="799" ht="14.25" spans="12:16">
      <c r="L799" s="114"/>
      <c r="M799" s="44">
        <v>3202</v>
      </c>
      <c r="N799" s="109">
        <v>0.13</v>
      </c>
      <c r="O799" s="110" t="s">
        <v>1491</v>
      </c>
      <c r="P799" s="114"/>
    </row>
    <row r="800" ht="14.25" spans="12:16">
      <c r="L800" s="114"/>
      <c r="M800" s="44">
        <v>3203</v>
      </c>
      <c r="N800" s="109">
        <v>0.13</v>
      </c>
      <c r="O800" s="110" t="s">
        <v>1492</v>
      </c>
      <c r="P800" s="114"/>
    </row>
    <row r="801" ht="14.25" spans="12:16">
      <c r="L801" s="114"/>
      <c r="M801" s="44">
        <v>3204</v>
      </c>
      <c r="N801" s="109">
        <v>0.13</v>
      </c>
      <c r="O801" s="110" t="s">
        <v>1493</v>
      </c>
      <c r="P801" s="114"/>
    </row>
    <row r="802" ht="14.25" spans="12:16">
      <c r="L802" s="114"/>
      <c r="M802" s="44">
        <v>3205</v>
      </c>
      <c r="N802" s="109">
        <v>0.13</v>
      </c>
      <c r="O802" s="110" t="s">
        <v>1494</v>
      </c>
      <c r="P802" s="114"/>
    </row>
    <row r="803" ht="14.25" spans="12:16">
      <c r="L803" s="114"/>
      <c r="M803" s="44">
        <v>3206</v>
      </c>
      <c r="N803" s="109">
        <v>0.13</v>
      </c>
      <c r="O803" s="110" t="s">
        <v>1495</v>
      </c>
      <c r="P803" s="114"/>
    </row>
    <row r="804" ht="14.25" spans="12:16">
      <c r="L804" s="114"/>
      <c r="M804" s="44">
        <v>3207</v>
      </c>
      <c r="N804" s="109">
        <v>0.13</v>
      </c>
      <c r="O804" s="110" t="s">
        <v>1496</v>
      </c>
      <c r="P804" s="114"/>
    </row>
    <row r="805" ht="14.25" spans="12:16">
      <c r="L805" s="114"/>
      <c r="M805" s="44">
        <v>3208</v>
      </c>
      <c r="N805" s="109">
        <v>0.13</v>
      </c>
      <c r="O805" s="110" t="s">
        <v>1497</v>
      </c>
      <c r="P805" s="114"/>
    </row>
    <row r="806" ht="14.25" spans="12:16">
      <c r="L806" s="114"/>
      <c r="M806" s="44">
        <v>3209</v>
      </c>
      <c r="N806" s="109">
        <v>0.13</v>
      </c>
      <c r="O806" s="110" t="s">
        <v>1498</v>
      </c>
      <c r="P806" s="114"/>
    </row>
    <row r="807" ht="14.25" spans="12:16">
      <c r="L807" s="114"/>
      <c r="M807" s="44">
        <v>3210</v>
      </c>
      <c r="N807" s="109">
        <v>0.13</v>
      </c>
      <c r="O807" s="110" t="s">
        <v>1499</v>
      </c>
      <c r="P807" s="114"/>
    </row>
    <row r="808" ht="14.25" spans="12:16">
      <c r="L808" s="114"/>
      <c r="M808" s="44">
        <v>3211</v>
      </c>
      <c r="N808" s="109">
        <v>0.13</v>
      </c>
      <c r="O808" s="110" t="s">
        <v>1500</v>
      </c>
      <c r="P808" s="114"/>
    </row>
    <row r="809" ht="14.25" spans="12:16">
      <c r="L809" s="114"/>
      <c r="M809" s="44">
        <v>3213</v>
      </c>
      <c r="N809" s="109">
        <v>0.13</v>
      </c>
      <c r="O809" s="110" t="s">
        <v>1501</v>
      </c>
      <c r="P809" s="114"/>
    </row>
    <row r="810" ht="14.25" spans="12:16">
      <c r="L810" s="114"/>
      <c r="M810" s="44">
        <v>3214</v>
      </c>
      <c r="N810" s="109">
        <v>0.13</v>
      </c>
      <c r="O810" s="110" t="s">
        <v>1502</v>
      </c>
      <c r="P810" s="114"/>
    </row>
    <row r="811" ht="14.25" spans="12:16">
      <c r="L811" s="114"/>
      <c r="M811" s="44">
        <v>1747</v>
      </c>
      <c r="N811" s="109">
        <v>0.06</v>
      </c>
      <c r="O811" s="110" t="s">
        <v>1503</v>
      </c>
      <c r="P811" s="114"/>
    </row>
    <row r="812" ht="14.25" spans="12:16">
      <c r="L812" s="114"/>
      <c r="M812" s="44">
        <v>1750</v>
      </c>
      <c r="N812" s="109" t="s">
        <v>1075</v>
      </c>
      <c r="O812" s="110" t="s">
        <v>1504</v>
      </c>
      <c r="P812" s="114"/>
    </row>
    <row r="813" ht="14.25" spans="12:16">
      <c r="L813" s="114"/>
      <c r="M813" s="44">
        <v>1752</v>
      </c>
      <c r="N813" s="109">
        <v>0.06</v>
      </c>
      <c r="O813" s="110" t="s">
        <v>1505</v>
      </c>
      <c r="P813" s="114"/>
    </row>
    <row r="814" ht="14.25" spans="12:16">
      <c r="L814" s="114"/>
      <c r="M814" s="44">
        <v>1753</v>
      </c>
      <c r="N814" s="109" t="s">
        <v>1058</v>
      </c>
      <c r="O814" s="110" t="s">
        <v>1506</v>
      </c>
      <c r="P814" s="114"/>
    </row>
    <row r="815" ht="14.25" spans="12:16">
      <c r="L815" s="114"/>
      <c r="M815" s="44">
        <v>1754</v>
      </c>
      <c r="N815" s="109" t="s">
        <v>1507</v>
      </c>
      <c r="O815" s="110" t="s">
        <v>1508</v>
      </c>
      <c r="P815" s="114"/>
    </row>
    <row r="816" ht="14.25" spans="12:16">
      <c r="L816" s="114"/>
      <c r="M816" s="44">
        <v>1755</v>
      </c>
      <c r="N816" s="109" t="s">
        <v>1075</v>
      </c>
      <c r="O816" s="110" t="s">
        <v>1509</v>
      </c>
      <c r="P816" s="114"/>
    </row>
    <row r="817" ht="14.25" spans="12:16">
      <c r="L817" s="114"/>
      <c r="M817" s="44">
        <v>1761</v>
      </c>
      <c r="N817" s="109" t="s">
        <v>1507</v>
      </c>
      <c r="O817" s="110" t="s">
        <v>1510</v>
      </c>
      <c r="P817" s="114"/>
    </row>
    <row r="818" ht="14.25" spans="12:16">
      <c r="L818" s="114"/>
      <c r="M818" s="44">
        <v>1762</v>
      </c>
      <c r="N818" s="109">
        <v>0.13</v>
      </c>
      <c r="O818" s="110" t="s">
        <v>1511</v>
      </c>
      <c r="P818" s="114"/>
    </row>
    <row r="819" ht="14.25" spans="12:16">
      <c r="L819" s="114"/>
      <c r="M819" s="44">
        <v>1764</v>
      </c>
      <c r="N819" s="109">
        <v>0.13</v>
      </c>
      <c r="O819" s="110" t="s">
        <v>1512</v>
      </c>
      <c r="P819" s="114"/>
    </row>
    <row r="820" ht="14.25" spans="12:16">
      <c r="L820" s="114"/>
      <c r="M820" s="44">
        <v>3215</v>
      </c>
      <c r="N820" s="109">
        <v>0.13</v>
      </c>
      <c r="O820" s="110" t="s">
        <v>1513</v>
      </c>
      <c r="P820" s="114"/>
    </row>
    <row r="821" ht="14.25" spans="12:16">
      <c r="L821" s="114"/>
      <c r="M821" s="44">
        <v>3216</v>
      </c>
      <c r="N821" s="109">
        <v>0.13</v>
      </c>
      <c r="O821" s="110" t="s">
        <v>1514</v>
      </c>
      <c r="P821" s="114"/>
    </row>
    <row r="822" ht="14.25" spans="12:16">
      <c r="L822" s="114"/>
      <c r="M822" s="44">
        <v>3217</v>
      </c>
      <c r="N822" s="109">
        <v>0.13</v>
      </c>
      <c r="O822" s="110" t="s">
        <v>1515</v>
      </c>
      <c r="P822" s="114"/>
    </row>
    <row r="823" ht="14.25" spans="12:16">
      <c r="L823" s="114"/>
      <c r="M823" s="44">
        <v>3218</v>
      </c>
      <c r="N823" s="109">
        <v>0.13</v>
      </c>
      <c r="O823" s="110" t="s">
        <v>1516</v>
      </c>
      <c r="P823" s="114"/>
    </row>
    <row r="824" ht="14.25" spans="12:16">
      <c r="L824" s="114"/>
      <c r="M824" s="44">
        <v>3219</v>
      </c>
      <c r="N824" s="109">
        <v>0.13</v>
      </c>
      <c r="O824" s="110" t="s">
        <v>1517</v>
      </c>
      <c r="P824" s="114"/>
    </row>
    <row r="825" ht="14.25" spans="12:16">
      <c r="L825" s="114"/>
      <c r="M825" s="44">
        <v>3220</v>
      </c>
      <c r="N825" s="109">
        <v>0.13</v>
      </c>
      <c r="O825" s="110" t="s">
        <v>1518</v>
      </c>
      <c r="P825" s="114"/>
    </row>
    <row r="826" ht="14.25" spans="12:16">
      <c r="L826" s="114"/>
      <c r="M826" s="44">
        <v>3221</v>
      </c>
      <c r="N826" s="109">
        <v>0.13</v>
      </c>
      <c r="O826" s="110" t="s">
        <v>1519</v>
      </c>
      <c r="P826" s="114"/>
    </row>
    <row r="827" ht="14.25" spans="12:16">
      <c r="L827" s="114"/>
      <c r="M827" s="44">
        <v>3222</v>
      </c>
      <c r="N827" s="109">
        <v>0.13</v>
      </c>
      <c r="O827" s="110" t="s">
        <v>1520</v>
      </c>
      <c r="P827" s="114"/>
    </row>
    <row r="828" ht="14.25" spans="12:16">
      <c r="L828" s="114"/>
      <c r="M828" s="44">
        <v>3223</v>
      </c>
      <c r="N828" s="109">
        <v>0.13</v>
      </c>
      <c r="O828" s="110" t="s">
        <v>1521</v>
      </c>
      <c r="P828" s="114"/>
    </row>
    <row r="829" ht="14.25" spans="12:16">
      <c r="L829" s="114"/>
      <c r="M829" s="44">
        <v>3224</v>
      </c>
      <c r="N829" s="109">
        <v>0.13</v>
      </c>
      <c r="O829" s="110" t="s">
        <v>1522</v>
      </c>
      <c r="P829" s="114"/>
    </row>
    <row r="830" ht="14.25" spans="12:16">
      <c r="L830" s="114"/>
      <c r="M830" s="44">
        <v>1777</v>
      </c>
      <c r="N830" s="109">
        <v>0.09</v>
      </c>
      <c r="O830" s="110" t="s">
        <v>1523</v>
      </c>
      <c r="P830" s="114"/>
    </row>
    <row r="831" ht="14.25" spans="12:16">
      <c r="L831" s="114"/>
      <c r="M831" s="44">
        <v>1778</v>
      </c>
      <c r="N831" s="109">
        <v>0.06</v>
      </c>
      <c r="O831" s="110" t="s">
        <v>1524</v>
      </c>
      <c r="P831" s="114"/>
    </row>
    <row r="832" ht="14.25" spans="12:16">
      <c r="L832" s="114"/>
      <c r="M832" s="44">
        <v>1779</v>
      </c>
      <c r="N832" s="109"/>
      <c r="O832" s="110" t="s">
        <v>1525</v>
      </c>
      <c r="P832" s="114"/>
    </row>
    <row r="833" ht="14.25" spans="12:16">
      <c r="L833" s="114"/>
      <c r="M833" s="44">
        <v>3133</v>
      </c>
      <c r="N833" s="109"/>
      <c r="O833" s="110" t="s">
        <v>1526</v>
      </c>
      <c r="P833" s="114"/>
    </row>
    <row r="834" ht="14.25" spans="12:16">
      <c r="L834" s="114"/>
      <c r="M834" s="44">
        <v>3134</v>
      </c>
      <c r="N834" s="109"/>
      <c r="O834" s="110" t="s">
        <v>1527</v>
      </c>
      <c r="P834" s="114"/>
    </row>
    <row r="835" ht="14.25" spans="12:16">
      <c r="L835" s="114"/>
      <c r="M835" s="44">
        <v>3136</v>
      </c>
      <c r="N835" s="109"/>
      <c r="O835" s="110" t="s">
        <v>1528</v>
      </c>
      <c r="P835" s="114"/>
    </row>
    <row r="836" ht="14.25" spans="12:16">
      <c r="L836" s="114"/>
      <c r="M836" s="44">
        <v>3137</v>
      </c>
      <c r="N836" s="109"/>
      <c r="O836" s="110" t="s">
        <v>1529</v>
      </c>
      <c r="P836" s="114"/>
    </row>
    <row r="837" ht="14.25" spans="12:16">
      <c r="L837" s="114"/>
      <c r="M837" s="44">
        <v>3235</v>
      </c>
      <c r="N837" s="109"/>
      <c r="O837" s="110" t="s">
        <v>1530</v>
      </c>
      <c r="P837" s="114"/>
    </row>
    <row r="838" spans="12:16">
      <c r="L838" s="114"/>
      <c r="P838" s="114"/>
    </row>
    <row r="839" spans="12:16">
      <c r="L839" s="114"/>
      <c r="P839" s="114"/>
    </row>
    <row r="840" spans="12:16">
      <c r="L840" s="114"/>
      <c r="P840" s="114"/>
    </row>
    <row r="841" spans="12:16">
      <c r="L841" s="114"/>
      <c r="P841" s="114"/>
    </row>
  </sheetData>
  <autoFilter ref="A1:V837">
    <extLst/>
  </autoFilter>
  <conditionalFormatting sqref="A1:B1">
    <cfRule type="duplicateValues" dxfId="3" priority="1817"/>
  </conditionalFormatting>
  <conditionalFormatting sqref="C1">
    <cfRule type="duplicateValues" dxfId="3" priority="1819"/>
  </conditionalFormatting>
  <conditionalFormatting sqref="C2">
    <cfRule type="duplicateValues" dxfId="3" priority="1815"/>
  </conditionalFormatting>
  <conditionalFormatting sqref="C3">
    <cfRule type="duplicateValues" dxfId="3" priority="1814"/>
  </conditionalFormatting>
  <conditionalFormatting sqref="C4">
    <cfRule type="duplicateValues" dxfId="3" priority="1813"/>
  </conditionalFormatting>
  <conditionalFormatting sqref="C5">
    <cfRule type="duplicateValues" dxfId="3" priority="1812"/>
  </conditionalFormatting>
  <conditionalFormatting sqref="C6">
    <cfRule type="duplicateValues" dxfId="3" priority="1811"/>
  </conditionalFormatting>
  <conditionalFormatting sqref="C7">
    <cfRule type="duplicateValues" dxfId="3" priority="1810"/>
  </conditionalFormatting>
  <conditionalFormatting sqref="C8">
    <cfRule type="duplicateValues" dxfId="3" priority="1530"/>
  </conditionalFormatting>
  <conditionalFormatting sqref="C9">
    <cfRule type="duplicateValues" dxfId="3" priority="1809"/>
  </conditionalFormatting>
  <conditionalFormatting sqref="C10">
    <cfRule type="duplicateValues" dxfId="3" priority="1808"/>
  </conditionalFormatting>
  <conditionalFormatting sqref="C11">
    <cfRule type="duplicateValues" dxfId="3" priority="1807"/>
  </conditionalFormatting>
  <conditionalFormatting sqref="C12">
    <cfRule type="duplicateValues" dxfId="3" priority="1806"/>
  </conditionalFormatting>
  <conditionalFormatting sqref="C13">
    <cfRule type="duplicateValues" dxfId="3" priority="1805"/>
  </conditionalFormatting>
  <conditionalFormatting sqref="C14">
    <cfRule type="duplicateValues" dxfId="3" priority="1804"/>
  </conditionalFormatting>
  <conditionalFormatting sqref="C15">
    <cfRule type="duplicateValues" dxfId="3" priority="1803"/>
  </conditionalFormatting>
  <conditionalFormatting sqref="C16">
    <cfRule type="duplicateValues" dxfId="3" priority="1802"/>
  </conditionalFormatting>
  <conditionalFormatting sqref="C17">
    <cfRule type="duplicateValues" dxfId="3" priority="1801"/>
  </conditionalFormatting>
  <conditionalFormatting sqref="C18">
    <cfRule type="duplicateValues" dxfId="3" priority="1800"/>
  </conditionalFormatting>
  <conditionalFormatting sqref="C19">
    <cfRule type="duplicateValues" dxfId="3" priority="1799"/>
  </conditionalFormatting>
  <conditionalFormatting sqref="C20">
    <cfRule type="duplicateValues" dxfId="3" priority="1798"/>
  </conditionalFormatting>
  <conditionalFormatting sqref="C21">
    <cfRule type="duplicateValues" dxfId="3" priority="1797"/>
  </conditionalFormatting>
  <conditionalFormatting sqref="C22">
    <cfRule type="duplicateValues" dxfId="3" priority="1796"/>
  </conditionalFormatting>
  <conditionalFormatting sqref="C23">
    <cfRule type="duplicateValues" dxfId="3" priority="1795"/>
  </conditionalFormatting>
  <conditionalFormatting sqref="C24">
    <cfRule type="duplicateValues" dxfId="3" priority="1794"/>
  </conditionalFormatting>
  <conditionalFormatting sqref="C25">
    <cfRule type="duplicateValues" dxfId="3" priority="1793"/>
  </conditionalFormatting>
  <conditionalFormatting sqref="C26">
    <cfRule type="duplicateValues" dxfId="3" priority="1792"/>
  </conditionalFormatting>
  <conditionalFormatting sqref="C27">
    <cfRule type="duplicateValues" dxfId="3" priority="1791"/>
  </conditionalFormatting>
  <conditionalFormatting sqref="C28">
    <cfRule type="duplicateValues" dxfId="3" priority="1790"/>
  </conditionalFormatting>
  <conditionalFormatting sqref="C29">
    <cfRule type="duplicateValues" dxfId="3" priority="1789"/>
  </conditionalFormatting>
  <conditionalFormatting sqref="C30">
    <cfRule type="duplicateValues" dxfId="3" priority="1788"/>
  </conditionalFormatting>
  <conditionalFormatting sqref="C31">
    <cfRule type="duplicateValues" dxfId="3" priority="1787"/>
  </conditionalFormatting>
  <conditionalFormatting sqref="C32">
    <cfRule type="duplicateValues" dxfId="3" priority="1786"/>
  </conditionalFormatting>
  <conditionalFormatting sqref="C33">
    <cfRule type="duplicateValues" dxfId="3" priority="1785"/>
  </conditionalFormatting>
  <conditionalFormatting sqref="C34">
    <cfRule type="duplicateValues" dxfId="3" priority="1784"/>
  </conditionalFormatting>
  <conditionalFormatting sqref="C35">
    <cfRule type="duplicateValues" dxfId="3" priority="1783"/>
  </conditionalFormatting>
  <conditionalFormatting sqref="C36">
    <cfRule type="duplicateValues" dxfId="3" priority="1782"/>
  </conditionalFormatting>
  <conditionalFormatting sqref="C37">
    <cfRule type="duplicateValues" dxfId="3" priority="1781"/>
  </conditionalFormatting>
  <conditionalFormatting sqref="C38">
    <cfRule type="duplicateValues" dxfId="3" priority="1780"/>
  </conditionalFormatting>
  <conditionalFormatting sqref="C39">
    <cfRule type="duplicateValues" dxfId="3" priority="1779"/>
  </conditionalFormatting>
  <conditionalFormatting sqref="C40">
    <cfRule type="duplicateValues" dxfId="3" priority="1778"/>
  </conditionalFormatting>
  <conditionalFormatting sqref="C41">
    <cfRule type="duplicateValues" dxfId="3" priority="1777"/>
  </conditionalFormatting>
  <conditionalFormatting sqref="C42">
    <cfRule type="duplicateValues" dxfId="3" priority="1776"/>
  </conditionalFormatting>
  <conditionalFormatting sqref="C43">
    <cfRule type="duplicateValues" dxfId="3" priority="1775"/>
  </conditionalFormatting>
  <conditionalFormatting sqref="C44">
    <cfRule type="duplicateValues" dxfId="3" priority="1774"/>
  </conditionalFormatting>
  <conditionalFormatting sqref="C45">
    <cfRule type="duplicateValues" dxfId="3" priority="1773"/>
  </conditionalFormatting>
  <conditionalFormatting sqref="C46">
    <cfRule type="duplicateValues" dxfId="3" priority="1772"/>
  </conditionalFormatting>
  <conditionalFormatting sqref="C47">
    <cfRule type="duplicateValues" dxfId="3" priority="1771"/>
  </conditionalFormatting>
  <conditionalFormatting sqref="C48">
    <cfRule type="duplicateValues" dxfId="3" priority="1770"/>
  </conditionalFormatting>
  <conditionalFormatting sqref="C49">
    <cfRule type="duplicateValues" dxfId="3" priority="1769"/>
  </conditionalFormatting>
  <conditionalFormatting sqref="C50">
    <cfRule type="duplicateValues" dxfId="3" priority="1768"/>
  </conditionalFormatting>
  <conditionalFormatting sqref="C51">
    <cfRule type="duplicateValues" dxfId="3" priority="1767"/>
  </conditionalFormatting>
  <conditionalFormatting sqref="C52">
    <cfRule type="duplicateValues" dxfId="3" priority="1766"/>
  </conditionalFormatting>
  <conditionalFormatting sqref="C53">
    <cfRule type="duplicateValues" dxfId="3" priority="1765"/>
  </conditionalFormatting>
  <conditionalFormatting sqref="C54">
    <cfRule type="duplicateValues" dxfId="3" priority="1764"/>
  </conditionalFormatting>
  <conditionalFormatting sqref="C55">
    <cfRule type="duplicateValues" dxfId="3" priority="1763"/>
  </conditionalFormatting>
  <conditionalFormatting sqref="C56">
    <cfRule type="duplicateValues" dxfId="3" priority="1762"/>
  </conditionalFormatting>
  <conditionalFormatting sqref="C57">
    <cfRule type="duplicateValues" dxfId="3" priority="1761"/>
  </conditionalFormatting>
  <conditionalFormatting sqref="C58">
    <cfRule type="duplicateValues" dxfId="3" priority="1760"/>
  </conditionalFormatting>
  <conditionalFormatting sqref="C59">
    <cfRule type="duplicateValues" dxfId="3" priority="1759"/>
  </conditionalFormatting>
  <conditionalFormatting sqref="C60">
    <cfRule type="duplicateValues" dxfId="3" priority="1758"/>
  </conditionalFormatting>
  <conditionalFormatting sqref="C61">
    <cfRule type="duplicateValues" dxfId="3" priority="1757"/>
  </conditionalFormatting>
  <conditionalFormatting sqref="C62">
    <cfRule type="duplicateValues" dxfId="3" priority="1756"/>
  </conditionalFormatting>
  <conditionalFormatting sqref="C63">
    <cfRule type="duplicateValues" dxfId="3" priority="1755"/>
  </conditionalFormatting>
  <conditionalFormatting sqref="C64">
    <cfRule type="duplicateValues" dxfId="3" priority="1754"/>
  </conditionalFormatting>
  <conditionalFormatting sqref="C65">
    <cfRule type="duplicateValues" dxfId="3" priority="1753"/>
  </conditionalFormatting>
  <conditionalFormatting sqref="C66">
    <cfRule type="duplicateValues" dxfId="3" priority="1752"/>
  </conditionalFormatting>
  <conditionalFormatting sqref="C67">
    <cfRule type="duplicateValues" dxfId="3" priority="1751"/>
  </conditionalFormatting>
  <conditionalFormatting sqref="C68">
    <cfRule type="duplicateValues" dxfId="3" priority="1750"/>
  </conditionalFormatting>
  <conditionalFormatting sqref="C69">
    <cfRule type="duplicateValues" dxfId="3" priority="1749"/>
  </conditionalFormatting>
  <conditionalFormatting sqref="C70">
    <cfRule type="duplicateValues" dxfId="3" priority="1748"/>
  </conditionalFormatting>
  <conditionalFormatting sqref="C71">
    <cfRule type="duplicateValues" dxfId="3" priority="1747"/>
  </conditionalFormatting>
  <conditionalFormatting sqref="C72">
    <cfRule type="duplicateValues" dxfId="3" priority="1746"/>
  </conditionalFormatting>
  <conditionalFormatting sqref="C73">
    <cfRule type="duplicateValues" dxfId="3" priority="1745"/>
  </conditionalFormatting>
  <conditionalFormatting sqref="C74">
    <cfRule type="duplicateValues" dxfId="3" priority="1744"/>
  </conditionalFormatting>
  <conditionalFormatting sqref="C75">
    <cfRule type="duplicateValues" dxfId="3" priority="1743"/>
  </conditionalFormatting>
  <conditionalFormatting sqref="C76">
    <cfRule type="duplicateValues" dxfId="3" priority="1742"/>
  </conditionalFormatting>
  <conditionalFormatting sqref="C77">
    <cfRule type="duplicateValues" dxfId="3" priority="1741"/>
  </conditionalFormatting>
  <conditionalFormatting sqref="C78">
    <cfRule type="duplicateValues" dxfId="3" priority="1740"/>
  </conditionalFormatting>
  <conditionalFormatting sqref="C79">
    <cfRule type="duplicateValues" dxfId="3" priority="1739"/>
  </conditionalFormatting>
  <conditionalFormatting sqref="C80">
    <cfRule type="duplicateValues" dxfId="3" priority="1738"/>
  </conditionalFormatting>
  <conditionalFormatting sqref="C81">
    <cfRule type="duplicateValues" dxfId="3" priority="1737"/>
  </conditionalFormatting>
  <conditionalFormatting sqref="C82">
    <cfRule type="duplicateValues" dxfId="3" priority="1736"/>
  </conditionalFormatting>
  <conditionalFormatting sqref="C83">
    <cfRule type="duplicateValues" dxfId="3" priority="1735"/>
  </conditionalFormatting>
  <conditionalFormatting sqref="C84">
    <cfRule type="duplicateValues" dxfId="3" priority="1734"/>
  </conditionalFormatting>
  <conditionalFormatting sqref="C85">
    <cfRule type="duplicateValues" dxfId="3" priority="1733"/>
  </conditionalFormatting>
  <conditionalFormatting sqref="C86">
    <cfRule type="duplicateValues" dxfId="3" priority="1732"/>
  </conditionalFormatting>
  <conditionalFormatting sqref="C87">
    <cfRule type="duplicateValues" dxfId="3" priority="1731"/>
  </conditionalFormatting>
  <conditionalFormatting sqref="C88">
    <cfRule type="duplicateValues" dxfId="3" priority="1730"/>
  </conditionalFormatting>
  <conditionalFormatting sqref="C89">
    <cfRule type="duplicateValues" dxfId="3" priority="1729"/>
  </conditionalFormatting>
  <conditionalFormatting sqref="C90">
    <cfRule type="duplicateValues" dxfId="3" priority="1728"/>
  </conditionalFormatting>
  <conditionalFormatting sqref="C91">
    <cfRule type="duplicateValues" dxfId="3" priority="1727"/>
  </conditionalFormatting>
  <conditionalFormatting sqref="C92">
    <cfRule type="duplicateValues" dxfId="3" priority="1726"/>
  </conditionalFormatting>
  <conditionalFormatting sqref="C93">
    <cfRule type="duplicateValues" dxfId="3" priority="1725"/>
  </conditionalFormatting>
  <conditionalFormatting sqref="C94">
    <cfRule type="duplicateValues" dxfId="3" priority="1724"/>
  </conditionalFormatting>
  <conditionalFormatting sqref="C95">
    <cfRule type="duplicateValues" dxfId="3" priority="1723"/>
  </conditionalFormatting>
  <conditionalFormatting sqref="C96">
    <cfRule type="duplicateValues" dxfId="3" priority="1722"/>
  </conditionalFormatting>
  <conditionalFormatting sqref="C97">
    <cfRule type="duplicateValues" dxfId="3" priority="1721"/>
  </conditionalFormatting>
  <conditionalFormatting sqref="C98">
    <cfRule type="duplicateValues" dxfId="3" priority="1720"/>
  </conditionalFormatting>
  <conditionalFormatting sqref="C99">
    <cfRule type="duplicateValues" dxfId="3" priority="1719"/>
  </conditionalFormatting>
  <conditionalFormatting sqref="C100">
    <cfRule type="duplicateValues" dxfId="3" priority="1718"/>
  </conditionalFormatting>
  <conditionalFormatting sqref="C101">
    <cfRule type="duplicateValues" dxfId="3" priority="1717"/>
  </conditionalFormatting>
  <conditionalFormatting sqref="C102">
    <cfRule type="duplicateValues" dxfId="3" priority="1716"/>
  </conditionalFormatting>
  <conditionalFormatting sqref="C103">
    <cfRule type="duplicateValues" dxfId="3" priority="1715"/>
  </conditionalFormatting>
  <conditionalFormatting sqref="C104">
    <cfRule type="duplicateValues" dxfId="3" priority="1714"/>
  </conditionalFormatting>
  <conditionalFormatting sqref="C105">
    <cfRule type="duplicateValues" dxfId="3" priority="1713"/>
  </conditionalFormatting>
  <conditionalFormatting sqref="C106">
    <cfRule type="duplicateValues" dxfId="3" priority="1712"/>
  </conditionalFormatting>
  <conditionalFormatting sqref="C107">
    <cfRule type="duplicateValues" dxfId="3" priority="1711"/>
  </conditionalFormatting>
  <conditionalFormatting sqref="C108">
    <cfRule type="duplicateValues" dxfId="3" priority="1710"/>
  </conditionalFormatting>
  <conditionalFormatting sqref="C109">
    <cfRule type="duplicateValues" dxfId="3" priority="1709"/>
  </conditionalFormatting>
  <conditionalFormatting sqref="C110">
    <cfRule type="duplicateValues" dxfId="3" priority="1708"/>
  </conditionalFormatting>
  <conditionalFormatting sqref="C111">
    <cfRule type="duplicateValues" dxfId="3" priority="1707"/>
  </conditionalFormatting>
  <conditionalFormatting sqref="C112">
    <cfRule type="duplicateValues" dxfId="3" priority="1706"/>
  </conditionalFormatting>
  <conditionalFormatting sqref="C113">
    <cfRule type="duplicateValues" dxfId="3" priority="1705"/>
  </conditionalFormatting>
  <conditionalFormatting sqref="C114">
    <cfRule type="duplicateValues" dxfId="3" priority="1704"/>
  </conditionalFormatting>
  <conditionalFormatting sqref="C115">
    <cfRule type="duplicateValues" dxfId="3" priority="1703"/>
  </conditionalFormatting>
  <conditionalFormatting sqref="C116">
    <cfRule type="duplicateValues" dxfId="3" priority="1702"/>
  </conditionalFormatting>
  <conditionalFormatting sqref="C117">
    <cfRule type="duplicateValues" dxfId="3" priority="1701"/>
  </conditionalFormatting>
  <conditionalFormatting sqref="C118">
    <cfRule type="duplicateValues" dxfId="3" priority="1700"/>
  </conditionalFormatting>
  <conditionalFormatting sqref="C119">
    <cfRule type="duplicateValues" dxfId="3" priority="1699"/>
  </conditionalFormatting>
  <conditionalFormatting sqref="C120">
    <cfRule type="duplicateValues" dxfId="3" priority="1698"/>
  </conditionalFormatting>
  <conditionalFormatting sqref="C121">
    <cfRule type="duplicateValues" dxfId="3" priority="1697"/>
  </conditionalFormatting>
  <conditionalFormatting sqref="C122">
    <cfRule type="duplicateValues" dxfId="3" priority="1696"/>
  </conditionalFormatting>
  <conditionalFormatting sqref="C123">
    <cfRule type="duplicateValues" dxfId="3" priority="1695"/>
  </conditionalFormatting>
  <conditionalFormatting sqref="C124">
    <cfRule type="duplicateValues" dxfId="3" priority="1694"/>
  </conditionalFormatting>
  <conditionalFormatting sqref="C125">
    <cfRule type="duplicateValues" dxfId="3" priority="1693"/>
  </conditionalFormatting>
  <conditionalFormatting sqref="C126">
    <cfRule type="duplicateValues" dxfId="3" priority="1692"/>
  </conditionalFormatting>
  <conditionalFormatting sqref="C127">
    <cfRule type="duplicateValues" dxfId="3" priority="1691"/>
  </conditionalFormatting>
  <conditionalFormatting sqref="C128">
    <cfRule type="duplicateValues" dxfId="3" priority="1690"/>
  </conditionalFormatting>
  <conditionalFormatting sqref="C129">
    <cfRule type="duplicateValues" dxfId="3" priority="1689"/>
  </conditionalFormatting>
  <conditionalFormatting sqref="C130">
    <cfRule type="duplicateValues" dxfId="3" priority="1688"/>
  </conditionalFormatting>
  <conditionalFormatting sqref="C131">
    <cfRule type="duplicateValues" dxfId="3" priority="1687"/>
  </conditionalFormatting>
  <conditionalFormatting sqref="C132">
    <cfRule type="duplicateValues" dxfId="3" priority="1686"/>
  </conditionalFormatting>
  <conditionalFormatting sqref="C133">
    <cfRule type="duplicateValues" dxfId="3" priority="1685"/>
  </conditionalFormatting>
  <conditionalFormatting sqref="C134">
    <cfRule type="duplicateValues" dxfId="3" priority="1684"/>
  </conditionalFormatting>
  <conditionalFormatting sqref="C135">
    <cfRule type="duplicateValues" dxfId="3" priority="1683"/>
  </conditionalFormatting>
  <conditionalFormatting sqref="C136">
    <cfRule type="duplicateValues" dxfId="3" priority="1682"/>
  </conditionalFormatting>
  <conditionalFormatting sqref="C137">
    <cfRule type="duplicateValues" dxfId="3" priority="1681"/>
  </conditionalFormatting>
  <conditionalFormatting sqref="C138">
    <cfRule type="duplicateValues" dxfId="3" priority="1680"/>
  </conditionalFormatting>
  <conditionalFormatting sqref="C139">
    <cfRule type="duplicateValues" dxfId="3" priority="1679"/>
  </conditionalFormatting>
  <conditionalFormatting sqref="C140">
    <cfRule type="duplicateValues" dxfId="3" priority="1678"/>
  </conditionalFormatting>
  <conditionalFormatting sqref="C141">
    <cfRule type="duplicateValues" dxfId="3" priority="1677"/>
  </conditionalFormatting>
  <conditionalFormatting sqref="C142">
    <cfRule type="duplicateValues" dxfId="3" priority="1676"/>
  </conditionalFormatting>
  <conditionalFormatting sqref="C143">
    <cfRule type="duplicateValues" dxfId="3" priority="1675"/>
  </conditionalFormatting>
  <conditionalFormatting sqref="C144">
    <cfRule type="duplicateValues" dxfId="3" priority="1674"/>
  </conditionalFormatting>
  <conditionalFormatting sqref="C145">
    <cfRule type="duplicateValues" dxfId="3" priority="1673"/>
  </conditionalFormatting>
  <conditionalFormatting sqref="C146">
    <cfRule type="duplicateValues" dxfId="3" priority="1672"/>
  </conditionalFormatting>
  <conditionalFormatting sqref="C147">
    <cfRule type="duplicateValues" dxfId="3" priority="1671"/>
  </conditionalFormatting>
  <conditionalFormatting sqref="C148">
    <cfRule type="duplicateValues" dxfId="3" priority="1670"/>
  </conditionalFormatting>
  <conditionalFormatting sqref="C149">
    <cfRule type="duplicateValues" dxfId="3" priority="1669"/>
  </conditionalFormatting>
  <conditionalFormatting sqref="C150">
    <cfRule type="duplicateValues" dxfId="3" priority="1668"/>
  </conditionalFormatting>
  <conditionalFormatting sqref="C151">
    <cfRule type="duplicateValues" dxfId="3" priority="1667"/>
  </conditionalFormatting>
  <conditionalFormatting sqref="C152">
    <cfRule type="duplicateValues" dxfId="3" priority="1666"/>
  </conditionalFormatting>
  <conditionalFormatting sqref="C153">
    <cfRule type="duplicateValues" dxfId="3" priority="1665"/>
  </conditionalFormatting>
  <conditionalFormatting sqref="C154">
    <cfRule type="duplicateValues" dxfId="3" priority="1664"/>
  </conditionalFormatting>
  <conditionalFormatting sqref="C155">
    <cfRule type="duplicateValues" dxfId="3" priority="1663"/>
  </conditionalFormatting>
  <conditionalFormatting sqref="C156">
    <cfRule type="duplicateValues" dxfId="3" priority="1662"/>
  </conditionalFormatting>
  <conditionalFormatting sqref="C157">
    <cfRule type="duplicateValues" dxfId="3" priority="1661"/>
  </conditionalFormatting>
  <conditionalFormatting sqref="C158">
    <cfRule type="duplicateValues" dxfId="3" priority="1660"/>
  </conditionalFormatting>
  <conditionalFormatting sqref="C159">
    <cfRule type="duplicateValues" dxfId="3" priority="1659"/>
  </conditionalFormatting>
  <conditionalFormatting sqref="C160">
    <cfRule type="duplicateValues" dxfId="3" priority="1658"/>
  </conditionalFormatting>
  <conditionalFormatting sqref="C161">
    <cfRule type="duplicateValues" dxfId="3" priority="1657"/>
  </conditionalFormatting>
  <conditionalFormatting sqref="C162">
    <cfRule type="duplicateValues" dxfId="3" priority="1656"/>
  </conditionalFormatting>
  <conditionalFormatting sqref="C163">
    <cfRule type="duplicateValues" dxfId="3" priority="1655"/>
  </conditionalFormatting>
  <conditionalFormatting sqref="C164">
    <cfRule type="duplicateValues" dxfId="3" priority="1654"/>
  </conditionalFormatting>
  <conditionalFormatting sqref="C165">
    <cfRule type="duplicateValues" dxfId="3" priority="1653"/>
  </conditionalFormatting>
  <conditionalFormatting sqref="C166">
    <cfRule type="duplicateValues" dxfId="3" priority="1652"/>
  </conditionalFormatting>
  <conditionalFormatting sqref="C167">
    <cfRule type="duplicateValues" dxfId="3" priority="1651"/>
  </conditionalFormatting>
  <conditionalFormatting sqref="C168">
    <cfRule type="duplicateValues" dxfId="3" priority="1650"/>
  </conditionalFormatting>
  <conditionalFormatting sqref="C169">
    <cfRule type="duplicateValues" dxfId="3" priority="1649"/>
  </conditionalFormatting>
  <conditionalFormatting sqref="C170">
    <cfRule type="duplicateValues" dxfId="3" priority="1648"/>
  </conditionalFormatting>
  <conditionalFormatting sqref="C171">
    <cfRule type="duplicateValues" dxfId="3" priority="1647"/>
  </conditionalFormatting>
  <conditionalFormatting sqref="C172">
    <cfRule type="duplicateValues" dxfId="3" priority="1646"/>
  </conditionalFormatting>
  <conditionalFormatting sqref="C173">
    <cfRule type="duplicateValues" dxfId="3" priority="1645"/>
  </conditionalFormatting>
  <conditionalFormatting sqref="C174">
    <cfRule type="duplicateValues" dxfId="3" priority="1644"/>
  </conditionalFormatting>
  <conditionalFormatting sqref="C175">
    <cfRule type="duplicateValues" dxfId="3" priority="1643"/>
  </conditionalFormatting>
  <conditionalFormatting sqref="C176">
    <cfRule type="duplicateValues" dxfId="3" priority="1642"/>
  </conditionalFormatting>
  <conditionalFormatting sqref="C177">
    <cfRule type="duplicateValues" dxfId="3" priority="1641"/>
  </conditionalFormatting>
  <conditionalFormatting sqref="C178">
    <cfRule type="duplicateValues" dxfId="3" priority="1640"/>
  </conditionalFormatting>
  <conditionalFormatting sqref="C179">
    <cfRule type="duplicateValues" dxfId="3" priority="1639"/>
  </conditionalFormatting>
  <conditionalFormatting sqref="C180">
    <cfRule type="duplicateValues" dxfId="3" priority="1638"/>
  </conditionalFormatting>
  <conditionalFormatting sqref="C181">
    <cfRule type="duplicateValues" dxfId="3" priority="1637"/>
  </conditionalFormatting>
  <conditionalFormatting sqref="C182">
    <cfRule type="duplicateValues" dxfId="3" priority="1636"/>
  </conditionalFormatting>
  <conditionalFormatting sqref="C183">
    <cfRule type="duplicateValues" dxfId="3" priority="1635"/>
  </conditionalFormatting>
  <conditionalFormatting sqref="C184">
    <cfRule type="duplicateValues" dxfId="3" priority="1634"/>
  </conditionalFormatting>
  <conditionalFormatting sqref="C185">
    <cfRule type="duplicateValues" dxfId="3" priority="1633"/>
  </conditionalFormatting>
  <conditionalFormatting sqref="C186">
    <cfRule type="duplicateValues" dxfId="3" priority="1632"/>
  </conditionalFormatting>
  <conditionalFormatting sqref="C187">
    <cfRule type="duplicateValues" dxfId="3" priority="1631"/>
  </conditionalFormatting>
  <conditionalFormatting sqref="C188">
    <cfRule type="duplicateValues" dxfId="3" priority="1630"/>
  </conditionalFormatting>
  <conditionalFormatting sqref="C189">
    <cfRule type="duplicateValues" dxfId="3" priority="1629"/>
  </conditionalFormatting>
  <conditionalFormatting sqref="C190">
    <cfRule type="duplicateValues" dxfId="3" priority="1628"/>
  </conditionalFormatting>
  <conditionalFormatting sqref="C191">
    <cfRule type="duplicateValues" dxfId="3" priority="1627"/>
  </conditionalFormatting>
  <conditionalFormatting sqref="C192">
    <cfRule type="duplicateValues" dxfId="3" priority="1626"/>
  </conditionalFormatting>
  <conditionalFormatting sqref="C193">
    <cfRule type="duplicateValues" dxfId="3" priority="1625"/>
  </conditionalFormatting>
  <conditionalFormatting sqref="C194">
    <cfRule type="duplicateValues" dxfId="3" priority="1624"/>
  </conditionalFormatting>
  <conditionalFormatting sqref="C195">
    <cfRule type="duplicateValues" dxfId="3" priority="1623"/>
  </conditionalFormatting>
  <conditionalFormatting sqref="C196">
    <cfRule type="duplicateValues" dxfId="3" priority="1622"/>
  </conditionalFormatting>
  <conditionalFormatting sqref="C197">
    <cfRule type="duplicateValues" dxfId="3" priority="1621"/>
  </conditionalFormatting>
  <conditionalFormatting sqref="C198">
    <cfRule type="duplicateValues" dxfId="3" priority="1620"/>
  </conditionalFormatting>
  <conditionalFormatting sqref="C199">
    <cfRule type="duplicateValues" dxfId="3" priority="1619"/>
  </conditionalFormatting>
  <conditionalFormatting sqref="C200">
    <cfRule type="duplicateValues" dxfId="3" priority="1618"/>
  </conditionalFormatting>
  <conditionalFormatting sqref="C201">
    <cfRule type="duplicateValues" dxfId="3" priority="1617"/>
  </conditionalFormatting>
  <conditionalFormatting sqref="C202">
    <cfRule type="duplicateValues" dxfId="3" priority="1616"/>
  </conditionalFormatting>
  <conditionalFormatting sqref="C203">
    <cfRule type="duplicateValues" dxfId="3" priority="1615"/>
  </conditionalFormatting>
  <conditionalFormatting sqref="C204">
    <cfRule type="duplicateValues" dxfId="3" priority="1614"/>
  </conditionalFormatting>
  <conditionalFormatting sqref="C205">
    <cfRule type="duplicateValues" dxfId="3" priority="1613"/>
  </conditionalFormatting>
  <conditionalFormatting sqref="C206">
    <cfRule type="duplicateValues" dxfId="3" priority="1612"/>
  </conditionalFormatting>
  <conditionalFormatting sqref="C207">
    <cfRule type="duplicateValues" dxfId="3" priority="1529"/>
  </conditionalFormatting>
  <conditionalFormatting sqref="C208">
    <cfRule type="duplicateValues" dxfId="3" priority="1611"/>
  </conditionalFormatting>
  <conditionalFormatting sqref="C209">
    <cfRule type="duplicateValues" dxfId="3" priority="1610"/>
  </conditionalFormatting>
  <conditionalFormatting sqref="C210">
    <cfRule type="duplicateValues" dxfId="3" priority="1609"/>
  </conditionalFormatting>
  <conditionalFormatting sqref="C211">
    <cfRule type="duplicateValues" dxfId="3" priority="1608"/>
  </conditionalFormatting>
  <conditionalFormatting sqref="C212">
    <cfRule type="duplicateValues" dxfId="3" priority="1607"/>
  </conditionalFormatting>
  <conditionalFormatting sqref="C213">
    <cfRule type="duplicateValues" dxfId="3" priority="1606"/>
  </conditionalFormatting>
  <conditionalFormatting sqref="C214">
    <cfRule type="duplicateValues" dxfId="3" priority="1605"/>
  </conditionalFormatting>
  <conditionalFormatting sqref="C215">
    <cfRule type="duplicateValues" dxfId="3" priority="1604"/>
  </conditionalFormatting>
  <conditionalFormatting sqref="C216">
    <cfRule type="duplicateValues" dxfId="3" priority="1603"/>
  </conditionalFormatting>
  <conditionalFormatting sqref="C217">
    <cfRule type="duplicateValues" dxfId="3" priority="1602"/>
  </conditionalFormatting>
  <conditionalFormatting sqref="C218">
    <cfRule type="duplicateValues" dxfId="3" priority="1601"/>
  </conditionalFormatting>
  <conditionalFormatting sqref="C219">
    <cfRule type="duplicateValues" dxfId="3" priority="1600"/>
  </conditionalFormatting>
  <conditionalFormatting sqref="C220">
    <cfRule type="duplicateValues" dxfId="3" priority="1599"/>
  </conditionalFormatting>
  <conditionalFormatting sqref="C221">
    <cfRule type="duplicateValues" dxfId="3" priority="1598"/>
  </conditionalFormatting>
  <conditionalFormatting sqref="C222">
    <cfRule type="duplicateValues" dxfId="3" priority="1597"/>
  </conditionalFormatting>
  <conditionalFormatting sqref="C223">
    <cfRule type="duplicateValues" dxfId="3" priority="1596"/>
  </conditionalFormatting>
  <conditionalFormatting sqref="C224">
    <cfRule type="duplicateValues" dxfId="3" priority="1595"/>
  </conditionalFormatting>
  <conditionalFormatting sqref="C225">
    <cfRule type="duplicateValues" dxfId="3" priority="1594"/>
  </conditionalFormatting>
  <conditionalFormatting sqref="C226">
    <cfRule type="duplicateValues" dxfId="3" priority="1593"/>
  </conditionalFormatting>
  <conditionalFormatting sqref="C227">
    <cfRule type="duplicateValues" dxfId="3" priority="1592"/>
  </conditionalFormatting>
  <conditionalFormatting sqref="C228">
    <cfRule type="duplicateValues" dxfId="3" priority="1591"/>
  </conditionalFormatting>
  <conditionalFormatting sqref="C229">
    <cfRule type="duplicateValues" dxfId="3" priority="1590"/>
  </conditionalFormatting>
  <conditionalFormatting sqref="C230">
    <cfRule type="duplicateValues" dxfId="3" priority="1588"/>
  </conditionalFormatting>
  <conditionalFormatting sqref="C231">
    <cfRule type="duplicateValues" dxfId="3" priority="1587"/>
  </conditionalFormatting>
  <conditionalFormatting sqref="C232">
    <cfRule type="duplicateValues" dxfId="3" priority="1586"/>
  </conditionalFormatting>
  <conditionalFormatting sqref="C233">
    <cfRule type="duplicateValues" dxfId="3" priority="1585"/>
  </conditionalFormatting>
  <conditionalFormatting sqref="C234">
    <cfRule type="duplicateValues" dxfId="3" priority="1584"/>
  </conditionalFormatting>
  <conditionalFormatting sqref="C235">
    <cfRule type="duplicateValues" dxfId="3" priority="1583"/>
  </conditionalFormatting>
  <conditionalFormatting sqref="C236">
    <cfRule type="duplicateValues" dxfId="3" priority="1582"/>
  </conditionalFormatting>
  <conditionalFormatting sqref="C237">
    <cfRule type="duplicateValues" dxfId="3" priority="1581"/>
  </conditionalFormatting>
  <conditionalFormatting sqref="C238">
    <cfRule type="duplicateValues" dxfId="3" priority="1580"/>
  </conditionalFormatting>
  <conditionalFormatting sqref="C239">
    <cfRule type="duplicateValues" dxfId="3" priority="1579"/>
  </conditionalFormatting>
  <conditionalFormatting sqref="C240">
    <cfRule type="duplicateValues" dxfId="3" priority="1578"/>
  </conditionalFormatting>
  <conditionalFormatting sqref="C241">
    <cfRule type="duplicateValues" dxfId="3" priority="1577"/>
  </conditionalFormatting>
  <conditionalFormatting sqref="C242">
    <cfRule type="duplicateValues" dxfId="3" priority="1576"/>
  </conditionalFormatting>
  <conditionalFormatting sqref="C243">
    <cfRule type="duplicateValues" dxfId="3" priority="1575"/>
  </conditionalFormatting>
  <conditionalFormatting sqref="C244">
    <cfRule type="duplicateValues" dxfId="3" priority="1574"/>
  </conditionalFormatting>
  <conditionalFormatting sqref="C245">
    <cfRule type="duplicateValues" dxfId="3" priority="1573"/>
  </conditionalFormatting>
  <conditionalFormatting sqref="C246">
    <cfRule type="duplicateValues" dxfId="3" priority="1572"/>
  </conditionalFormatting>
  <conditionalFormatting sqref="C247">
    <cfRule type="duplicateValues" dxfId="3" priority="1571"/>
  </conditionalFormatting>
  <conditionalFormatting sqref="C248">
    <cfRule type="duplicateValues" dxfId="3" priority="1570"/>
  </conditionalFormatting>
  <conditionalFormatting sqref="C249">
    <cfRule type="duplicateValues" dxfId="3" priority="1569"/>
  </conditionalFormatting>
  <conditionalFormatting sqref="C250">
    <cfRule type="duplicateValues" dxfId="3" priority="1568"/>
  </conditionalFormatting>
  <conditionalFormatting sqref="C251">
    <cfRule type="duplicateValues" dxfId="3" priority="1567"/>
  </conditionalFormatting>
  <conditionalFormatting sqref="C252">
    <cfRule type="duplicateValues" dxfId="3" priority="1566"/>
  </conditionalFormatting>
  <conditionalFormatting sqref="C253">
    <cfRule type="duplicateValues" dxfId="3" priority="1565"/>
  </conditionalFormatting>
  <conditionalFormatting sqref="C254">
    <cfRule type="duplicateValues" dxfId="3" priority="1564"/>
  </conditionalFormatting>
  <conditionalFormatting sqref="C255">
    <cfRule type="duplicateValues" dxfId="3" priority="1563"/>
  </conditionalFormatting>
  <conditionalFormatting sqref="C256">
    <cfRule type="duplicateValues" dxfId="3" priority="1562"/>
  </conditionalFormatting>
  <conditionalFormatting sqref="C257">
    <cfRule type="duplicateValues" dxfId="3" priority="1561"/>
  </conditionalFormatting>
  <conditionalFormatting sqref="C258">
    <cfRule type="duplicateValues" dxfId="3" priority="1560"/>
  </conditionalFormatting>
  <conditionalFormatting sqref="C259">
    <cfRule type="duplicateValues" dxfId="3" priority="1559"/>
  </conditionalFormatting>
  <conditionalFormatting sqref="C260">
    <cfRule type="duplicateValues" dxfId="3" priority="13"/>
  </conditionalFormatting>
  <conditionalFormatting sqref="M260">
    <cfRule type="duplicateValues" dxfId="3" priority="75"/>
  </conditionalFormatting>
  <conditionalFormatting sqref="C261">
    <cfRule type="duplicateValues" dxfId="3" priority="12"/>
  </conditionalFormatting>
  <conditionalFormatting sqref="M261">
    <cfRule type="duplicateValues" dxfId="3" priority="68"/>
  </conditionalFormatting>
  <conditionalFormatting sqref="C262">
    <cfRule type="duplicateValues" dxfId="3" priority="10"/>
  </conditionalFormatting>
  <conditionalFormatting sqref="C263">
    <cfRule type="duplicateValues" dxfId="3" priority="9"/>
  </conditionalFormatting>
  <conditionalFormatting sqref="M263">
    <cfRule type="duplicateValues" dxfId="3" priority="37"/>
  </conditionalFormatting>
  <conditionalFormatting sqref="M264">
    <cfRule type="duplicateValues" dxfId="3" priority="1519"/>
  </conditionalFormatting>
  <conditionalFormatting sqref="M265">
    <cfRule type="duplicateValues" dxfId="3" priority="1509"/>
  </conditionalFormatting>
  <conditionalFormatting sqref="M269">
    <cfRule type="duplicateValues" dxfId="3" priority="1504"/>
  </conditionalFormatting>
  <conditionalFormatting sqref="M553">
    <cfRule type="duplicateValues" dxfId="3" priority="311"/>
  </conditionalFormatting>
  <conditionalFormatting sqref="M554">
    <cfRule type="duplicateValues" dxfId="3" priority="310"/>
  </conditionalFormatting>
  <conditionalFormatting sqref="M555">
    <cfRule type="duplicateValues" dxfId="3" priority="309"/>
  </conditionalFormatting>
  <conditionalFormatting sqref="M556">
    <cfRule type="duplicateValues" dxfId="3" priority="308"/>
  </conditionalFormatting>
  <conditionalFormatting sqref="M557">
    <cfRule type="duplicateValues" dxfId="3" priority="307"/>
  </conditionalFormatting>
  <conditionalFormatting sqref="M558">
    <cfRule type="duplicateValues" dxfId="3" priority="306"/>
  </conditionalFormatting>
  <conditionalFormatting sqref="M559">
    <cfRule type="duplicateValues" dxfId="3" priority="305"/>
  </conditionalFormatting>
  <conditionalFormatting sqref="M560">
    <cfRule type="duplicateValues" dxfId="3" priority="304"/>
  </conditionalFormatting>
  <conditionalFormatting sqref="M561">
    <cfRule type="duplicateValues" dxfId="3" priority="303"/>
  </conditionalFormatting>
  <conditionalFormatting sqref="M562">
    <cfRule type="duplicateValues" dxfId="3" priority="302"/>
  </conditionalFormatting>
  <conditionalFormatting sqref="M563">
    <cfRule type="duplicateValues" dxfId="3" priority="301"/>
  </conditionalFormatting>
  <conditionalFormatting sqref="M564">
    <cfRule type="duplicateValues" dxfId="3" priority="300"/>
  </conditionalFormatting>
  <conditionalFormatting sqref="M565">
    <cfRule type="duplicateValues" dxfId="3" priority="299"/>
  </conditionalFormatting>
  <conditionalFormatting sqref="M566">
    <cfRule type="duplicateValues" dxfId="3" priority="298"/>
  </conditionalFormatting>
  <conditionalFormatting sqref="M567">
    <cfRule type="duplicateValues" dxfId="3" priority="297"/>
  </conditionalFormatting>
  <conditionalFormatting sqref="M568">
    <cfRule type="duplicateValues" dxfId="3" priority="296"/>
  </conditionalFormatting>
  <conditionalFormatting sqref="M569">
    <cfRule type="duplicateValues" dxfId="3" priority="295"/>
  </conditionalFormatting>
  <conditionalFormatting sqref="M570">
    <cfRule type="duplicateValues" dxfId="3" priority="294"/>
  </conditionalFormatting>
  <conditionalFormatting sqref="M571">
    <cfRule type="duplicateValues" dxfId="3" priority="293"/>
  </conditionalFormatting>
  <conditionalFormatting sqref="M572">
    <cfRule type="duplicateValues" dxfId="3" priority="292"/>
  </conditionalFormatting>
  <conditionalFormatting sqref="M573">
    <cfRule type="duplicateValues" dxfId="3" priority="291"/>
  </conditionalFormatting>
  <conditionalFormatting sqref="M574">
    <cfRule type="duplicateValues" dxfId="3" priority="290"/>
  </conditionalFormatting>
  <conditionalFormatting sqref="M575">
    <cfRule type="duplicateValues" dxfId="3" priority="289"/>
  </conditionalFormatting>
  <conditionalFormatting sqref="M576">
    <cfRule type="duplicateValues" dxfId="3" priority="288"/>
  </conditionalFormatting>
  <conditionalFormatting sqref="M577">
    <cfRule type="duplicateValues" dxfId="3" priority="287"/>
  </conditionalFormatting>
  <conditionalFormatting sqref="M578">
    <cfRule type="duplicateValues" dxfId="3" priority="286"/>
  </conditionalFormatting>
  <conditionalFormatting sqref="M579">
    <cfRule type="duplicateValues" dxfId="3" priority="285"/>
  </conditionalFormatting>
  <conditionalFormatting sqref="M580">
    <cfRule type="duplicateValues" dxfId="3" priority="284"/>
  </conditionalFormatting>
  <conditionalFormatting sqref="M581">
    <cfRule type="duplicateValues" dxfId="3" priority="283"/>
  </conditionalFormatting>
  <conditionalFormatting sqref="M582">
    <cfRule type="duplicateValues" dxfId="3" priority="282"/>
  </conditionalFormatting>
  <conditionalFormatting sqref="M583">
    <cfRule type="duplicateValues" dxfId="3" priority="281"/>
  </conditionalFormatting>
  <conditionalFormatting sqref="M584">
    <cfRule type="duplicateValues" dxfId="3" priority="280"/>
  </conditionalFormatting>
  <conditionalFormatting sqref="M585">
    <cfRule type="duplicateValues" dxfId="3" priority="279"/>
  </conditionalFormatting>
  <conditionalFormatting sqref="M586">
    <cfRule type="duplicateValues" dxfId="3" priority="278"/>
  </conditionalFormatting>
  <conditionalFormatting sqref="M587">
    <cfRule type="duplicateValues" dxfId="3" priority="277"/>
  </conditionalFormatting>
  <conditionalFormatting sqref="M588">
    <cfRule type="duplicateValues" dxfId="3" priority="276"/>
  </conditionalFormatting>
  <conditionalFormatting sqref="M589">
    <cfRule type="duplicateValues" dxfId="3" priority="275"/>
  </conditionalFormatting>
  <conditionalFormatting sqref="M590">
    <cfRule type="duplicateValues" dxfId="3" priority="274"/>
  </conditionalFormatting>
  <conditionalFormatting sqref="M591">
    <cfRule type="duplicateValues" dxfId="3" priority="273"/>
  </conditionalFormatting>
  <conditionalFormatting sqref="M592">
    <cfRule type="duplicateValues" dxfId="3" priority="272"/>
  </conditionalFormatting>
  <conditionalFormatting sqref="M593">
    <cfRule type="duplicateValues" dxfId="3" priority="271"/>
  </conditionalFormatting>
  <conditionalFormatting sqref="M594">
    <cfRule type="duplicateValues" dxfId="3" priority="270"/>
  </conditionalFormatting>
  <conditionalFormatting sqref="M595">
    <cfRule type="duplicateValues" dxfId="3" priority="269"/>
  </conditionalFormatting>
  <conditionalFormatting sqref="M596">
    <cfRule type="duplicateValues" dxfId="3" priority="268"/>
  </conditionalFormatting>
  <conditionalFormatting sqref="M597">
    <cfRule type="duplicateValues" dxfId="3" priority="267"/>
  </conditionalFormatting>
  <conditionalFormatting sqref="M598">
    <cfRule type="duplicateValues" dxfId="3" priority="266"/>
  </conditionalFormatting>
  <conditionalFormatting sqref="M599">
    <cfRule type="duplicateValues" dxfId="3" priority="265"/>
  </conditionalFormatting>
  <conditionalFormatting sqref="M600">
    <cfRule type="duplicateValues" dxfId="3" priority="264"/>
  </conditionalFormatting>
  <conditionalFormatting sqref="M601">
    <cfRule type="duplicateValues" dxfId="3" priority="263"/>
  </conditionalFormatting>
  <conditionalFormatting sqref="M602">
    <cfRule type="duplicateValues" dxfId="3" priority="262"/>
  </conditionalFormatting>
  <conditionalFormatting sqref="M603">
    <cfRule type="duplicateValues" dxfId="3" priority="261"/>
  </conditionalFormatting>
  <conditionalFormatting sqref="M604">
    <cfRule type="duplicateValues" dxfId="3" priority="260"/>
  </conditionalFormatting>
  <conditionalFormatting sqref="M605">
    <cfRule type="duplicateValues" dxfId="3" priority="258"/>
  </conditionalFormatting>
  <conditionalFormatting sqref="M606">
    <cfRule type="duplicateValues" dxfId="3" priority="257"/>
  </conditionalFormatting>
  <conditionalFormatting sqref="M607">
    <cfRule type="duplicateValues" dxfId="3" priority="256"/>
  </conditionalFormatting>
  <conditionalFormatting sqref="M608">
    <cfRule type="duplicateValues" dxfId="3" priority="255"/>
  </conditionalFormatting>
  <conditionalFormatting sqref="M609">
    <cfRule type="duplicateValues" dxfId="3" priority="254"/>
  </conditionalFormatting>
  <conditionalFormatting sqref="M610">
    <cfRule type="duplicateValues" dxfId="3" priority="253"/>
  </conditionalFormatting>
  <conditionalFormatting sqref="M611">
    <cfRule type="duplicateValues" dxfId="3" priority="252"/>
  </conditionalFormatting>
  <conditionalFormatting sqref="M612">
    <cfRule type="duplicateValues" dxfId="3" priority="251"/>
  </conditionalFormatting>
  <conditionalFormatting sqref="M613">
    <cfRule type="duplicateValues" dxfId="3" priority="250"/>
  </conditionalFormatting>
  <conditionalFormatting sqref="M614">
    <cfRule type="duplicateValues" dxfId="3" priority="249"/>
  </conditionalFormatting>
  <conditionalFormatting sqref="M615">
    <cfRule type="duplicateValues" dxfId="3" priority="248"/>
  </conditionalFormatting>
  <conditionalFormatting sqref="M616">
    <cfRule type="duplicateValues" dxfId="3" priority="247"/>
  </conditionalFormatting>
  <conditionalFormatting sqref="M617">
    <cfRule type="duplicateValues" dxfId="3" priority="246"/>
  </conditionalFormatting>
  <conditionalFormatting sqref="M618">
    <cfRule type="duplicateValues" dxfId="3" priority="245"/>
  </conditionalFormatting>
  <conditionalFormatting sqref="M619">
    <cfRule type="duplicateValues" dxfId="3" priority="244"/>
  </conditionalFormatting>
  <conditionalFormatting sqref="M620">
    <cfRule type="duplicateValues" dxfId="3" priority="243"/>
  </conditionalFormatting>
  <conditionalFormatting sqref="M621">
    <cfRule type="duplicateValues" dxfId="3" priority="242"/>
  </conditionalFormatting>
  <conditionalFormatting sqref="M622">
    <cfRule type="duplicateValues" dxfId="3" priority="241"/>
  </conditionalFormatting>
  <conditionalFormatting sqref="M623">
    <cfRule type="duplicateValues" dxfId="3" priority="240"/>
  </conditionalFormatting>
  <conditionalFormatting sqref="M624">
    <cfRule type="duplicateValues" dxfId="3" priority="239"/>
  </conditionalFormatting>
  <conditionalFormatting sqref="M625">
    <cfRule type="duplicateValues" dxfId="3" priority="238"/>
  </conditionalFormatting>
  <conditionalFormatting sqref="M626">
    <cfRule type="duplicateValues" dxfId="3" priority="237"/>
  </conditionalFormatting>
  <conditionalFormatting sqref="M627">
    <cfRule type="duplicateValues" dxfId="3" priority="236"/>
  </conditionalFormatting>
  <conditionalFormatting sqref="M628">
    <cfRule type="duplicateValues" dxfId="3" priority="235"/>
  </conditionalFormatting>
  <conditionalFormatting sqref="M629">
    <cfRule type="duplicateValues" dxfId="3" priority="234"/>
  </conditionalFormatting>
  <conditionalFormatting sqref="M630">
    <cfRule type="duplicateValues" dxfId="3" priority="231"/>
  </conditionalFormatting>
  <conditionalFormatting sqref="M631">
    <cfRule type="duplicateValues" dxfId="3" priority="230"/>
  </conditionalFormatting>
  <conditionalFormatting sqref="M632">
    <cfRule type="duplicateValues" dxfId="3" priority="229"/>
  </conditionalFormatting>
  <conditionalFormatting sqref="M633">
    <cfRule type="duplicateValues" dxfId="3" priority="228"/>
  </conditionalFormatting>
  <conditionalFormatting sqref="M634">
    <cfRule type="duplicateValues" dxfId="3" priority="227"/>
  </conditionalFormatting>
  <conditionalFormatting sqref="M635">
    <cfRule type="duplicateValues" dxfId="3" priority="226"/>
  </conditionalFormatting>
  <conditionalFormatting sqref="M636">
    <cfRule type="duplicateValues" dxfId="3" priority="225"/>
  </conditionalFormatting>
  <conditionalFormatting sqref="M637">
    <cfRule type="duplicateValues" dxfId="3" priority="224"/>
  </conditionalFormatting>
  <conditionalFormatting sqref="M638">
    <cfRule type="duplicateValues" dxfId="3" priority="223"/>
  </conditionalFormatting>
  <conditionalFormatting sqref="M639">
    <cfRule type="duplicateValues" dxfId="3" priority="222"/>
  </conditionalFormatting>
  <conditionalFormatting sqref="M640">
    <cfRule type="duplicateValues" dxfId="3" priority="221"/>
  </conditionalFormatting>
  <conditionalFormatting sqref="M641">
    <cfRule type="duplicateValues" dxfId="3" priority="220"/>
  </conditionalFormatting>
  <conditionalFormatting sqref="M642">
    <cfRule type="duplicateValues" dxfId="3" priority="219"/>
  </conditionalFormatting>
  <conditionalFormatting sqref="M643">
    <cfRule type="duplicateValues" dxfId="3" priority="218"/>
  </conditionalFormatting>
  <conditionalFormatting sqref="M644">
    <cfRule type="duplicateValues" dxfId="3" priority="217"/>
  </conditionalFormatting>
  <conditionalFormatting sqref="M645">
    <cfRule type="duplicateValues" dxfId="3" priority="216"/>
  </conditionalFormatting>
  <conditionalFormatting sqref="M646">
    <cfRule type="duplicateValues" dxfId="3" priority="215"/>
  </conditionalFormatting>
  <conditionalFormatting sqref="M647">
    <cfRule type="duplicateValues" dxfId="3" priority="214"/>
  </conditionalFormatting>
  <conditionalFormatting sqref="M648">
    <cfRule type="duplicateValues" dxfId="3" priority="213"/>
  </conditionalFormatting>
  <conditionalFormatting sqref="M649">
    <cfRule type="duplicateValues" dxfId="3" priority="212"/>
  </conditionalFormatting>
  <conditionalFormatting sqref="M650">
    <cfRule type="duplicateValues" dxfId="3" priority="211"/>
  </conditionalFormatting>
  <conditionalFormatting sqref="M651">
    <cfRule type="duplicateValues" dxfId="3" priority="210"/>
  </conditionalFormatting>
  <conditionalFormatting sqref="M652">
    <cfRule type="duplicateValues" dxfId="3" priority="209"/>
  </conditionalFormatting>
  <conditionalFormatting sqref="M653">
    <cfRule type="duplicateValues" dxfId="3" priority="208"/>
  </conditionalFormatting>
  <conditionalFormatting sqref="M654">
    <cfRule type="duplicateValues" dxfId="3" priority="207"/>
  </conditionalFormatting>
  <conditionalFormatting sqref="M655">
    <cfRule type="duplicateValues" dxfId="3" priority="206"/>
  </conditionalFormatting>
  <conditionalFormatting sqref="M656">
    <cfRule type="duplicateValues" dxfId="3" priority="205"/>
  </conditionalFormatting>
  <conditionalFormatting sqref="M657">
    <cfRule type="duplicateValues" dxfId="3" priority="204"/>
  </conditionalFormatting>
  <conditionalFormatting sqref="M658">
    <cfRule type="duplicateValues" dxfId="3" priority="203"/>
  </conditionalFormatting>
  <conditionalFormatting sqref="M659">
    <cfRule type="duplicateValues" dxfId="3" priority="202"/>
  </conditionalFormatting>
  <conditionalFormatting sqref="M660">
    <cfRule type="duplicateValues" dxfId="3" priority="201"/>
  </conditionalFormatting>
  <conditionalFormatting sqref="M661">
    <cfRule type="duplicateValues" dxfId="3" priority="200"/>
  </conditionalFormatting>
  <conditionalFormatting sqref="M662">
    <cfRule type="duplicateValues" dxfId="3" priority="199"/>
  </conditionalFormatting>
  <conditionalFormatting sqref="M663">
    <cfRule type="duplicateValues" dxfId="3" priority="198"/>
  </conditionalFormatting>
  <conditionalFormatting sqref="M664">
    <cfRule type="duplicateValues" dxfId="3" priority="197"/>
  </conditionalFormatting>
  <conditionalFormatting sqref="M665">
    <cfRule type="duplicateValues" dxfId="3" priority="195"/>
  </conditionalFormatting>
  <conditionalFormatting sqref="M666">
    <cfRule type="duplicateValues" dxfId="3" priority="194"/>
  </conditionalFormatting>
  <conditionalFormatting sqref="M667">
    <cfRule type="duplicateValues" dxfId="3" priority="193"/>
  </conditionalFormatting>
  <conditionalFormatting sqref="M668">
    <cfRule type="duplicateValues" dxfId="3" priority="192"/>
  </conditionalFormatting>
  <conditionalFormatting sqref="M669">
    <cfRule type="duplicateValues" dxfId="3" priority="191"/>
  </conditionalFormatting>
  <conditionalFormatting sqref="M670">
    <cfRule type="duplicateValues" dxfId="3" priority="190"/>
  </conditionalFormatting>
  <conditionalFormatting sqref="M671">
    <cfRule type="duplicateValues" dxfId="3" priority="189"/>
  </conditionalFormatting>
  <conditionalFormatting sqref="M672">
    <cfRule type="duplicateValues" dxfId="3" priority="188"/>
  </conditionalFormatting>
  <conditionalFormatting sqref="M673">
    <cfRule type="duplicateValues" dxfId="3" priority="187"/>
  </conditionalFormatting>
  <conditionalFormatting sqref="M674">
    <cfRule type="duplicateValues" dxfId="3" priority="186"/>
  </conditionalFormatting>
  <conditionalFormatting sqref="M675">
    <cfRule type="duplicateValues" dxfId="3" priority="185"/>
  </conditionalFormatting>
  <conditionalFormatting sqref="M676">
    <cfRule type="duplicateValues" dxfId="3" priority="184"/>
  </conditionalFormatting>
  <conditionalFormatting sqref="M677">
    <cfRule type="duplicateValues" dxfId="3" priority="183"/>
  </conditionalFormatting>
  <conditionalFormatting sqref="M678">
    <cfRule type="duplicateValues" dxfId="3" priority="182"/>
  </conditionalFormatting>
  <conditionalFormatting sqref="M679">
    <cfRule type="duplicateValues" dxfId="3" priority="181"/>
  </conditionalFormatting>
  <conditionalFormatting sqref="M680">
    <cfRule type="duplicateValues" dxfId="3" priority="180"/>
  </conditionalFormatting>
  <conditionalFormatting sqref="M681">
    <cfRule type="duplicateValues" dxfId="3" priority="179"/>
  </conditionalFormatting>
  <conditionalFormatting sqref="M682">
    <cfRule type="duplicateValues" dxfId="3" priority="178"/>
  </conditionalFormatting>
  <conditionalFormatting sqref="M683">
    <cfRule type="duplicateValues" dxfId="3" priority="177"/>
  </conditionalFormatting>
  <conditionalFormatting sqref="M684">
    <cfRule type="duplicateValues" dxfId="3" priority="176"/>
  </conditionalFormatting>
  <conditionalFormatting sqref="M685">
    <cfRule type="duplicateValues" dxfId="3" priority="175"/>
  </conditionalFormatting>
  <conditionalFormatting sqref="M686">
    <cfRule type="duplicateValues" dxfId="3" priority="174"/>
  </conditionalFormatting>
  <conditionalFormatting sqref="M687">
    <cfRule type="duplicateValues" dxfId="3" priority="173"/>
  </conditionalFormatting>
  <conditionalFormatting sqref="M688">
    <cfRule type="duplicateValues" dxfId="3" priority="172"/>
  </conditionalFormatting>
  <conditionalFormatting sqref="M689">
    <cfRule type="duplicateValues" dxfId="3" priority="171"/>
  </conditionalFormatting>
  <conditionalFormatting sqref="M690">
    <cfRule type="duplicateValues" dxfId="3" priority="170"/>
  </conditionalFormatting>
  <conditionalFormatting sqref="M691">
    <cfRule type="duplicateValues" dxfId="3" priority="169"/>
  </conditionalFormatting>
  <conditionalFormatting sqref="M692">
    <cfRule type="duplicateValues" dxfId="3" priority="168"/>
  </conditionalFormatting>
  <conditionalFormatting sqref="M693">
    <cfRule type="duplicateValues" dxfId="3" priority="167"/>
  </conditionalFormatting>
  <conditionalFormatting sqref="M694">
    <cfRule type="duplicateValues" dxfId="3" priority="166"/>
  </conditionalFormatting>
  <conditionalFormatting sqref="M695">
    <cfRule type="duplicateValues" dxfId="3" priority="165"/>
  </conditionalFormatting>
  <conditionalFormatting sqref="M696">
    <cfRule type="duplicateValues" dxfId="3" priority="164"/>
  </conditionalFormatting>
  <conditionalFormatting sqref="M697">
    <cfRule type="duplicateValues" dxfId="3" priority="163"/>
  </conditionalFormatting>
  <conditionalFormatting sqref="M698">
    <cfRule type="duplicateValues" dxfId="3" priority="162"/>
  </conditionalFormatting>
  <conditionalFormatting sqref="M699">
    <cfRule type="duplicateValues" dxfId="3" priority="161"/>
  </conditionalFormatting>
  <conditionalFormatting sqref="M700">
    <cfRule type="duplicateValues" dxfId="3" priority="160"/>
  </conditionalFormatting>
  <conditionalFormatting sqref="M701">
    <cfRule type="duplicateValues" dxfId="3" priority="159"/>
  </conditionalFormatting>
  <conditionalFormatting sqref="M702">
    <cfRule type="duplicateValues" dxfId="3" priority="158"/>
  </conditionalFormatting>
  <conditionalFormatting sqref="M703">
    <cfRule type="duplicateValues" dxfId="3" priority="157"/>
  </conditionalFormatting>
  <conditionalFormatting sqref="M704">
    <cfRule type="duplicateValues" dxfId="3" priority="156"/>
  </conditionalFormatting>
  <conditionalFormatting sqref="M705">
    <cfRule type="duplicateValues" dxfId="3" priority="155"/>
  </conditionalFormatting>
  <conditionalFormatting sqref="M706">
    <cfRule type="duplicateValues" dxfId="3" priority="154"/>
  </conditionalFormatting>
  <conditionalFormatting sqref="M707">
    <cfRule type="duplicateValues" dxfId="3" priority="153"/>
  </conditionalFormatting>
  <conditionalFormatting sqref="M708">
    <cfRule type="duplicateValues" dxfId="3" priority="152"/>
  </conditionalFormatting>
  <conditionalFormatting sqref="M709">
    <cfRule type="duplicateValues" dxfId="3" priority="151"/>
  </conditionalFormatting>
  <conditionalFormatting sqref="M710">
    <cfRule type="duplicateValues" dxfId="3" priority="150"/>
  </conditionalFormatting>
  <conditionalFormatting sqref="M711">
    <cfRule type="duplicateValues" dxfId="3" priority="149"/>
  </conditionalFormatting>
  <conditionalFormatting sqref="M712">
    <cfRule type="duplicateValues" dxfId="3" priority="148"/>
  </conditionalFormatting>
  <conditionalFormatting sqref="M713">
    <cfRule type="duplicateValues" dxfId="3" priority="147"/>
  </conditionalFormatting>
  <conditionalFormatting sqref="M714">
    <cfRule type="duplicateValues" dxfId="3" priority="146"/>
  </conditionalFormatting>
  <conditionalFormatting sqref="M715">
    <cfRule type="duplicateValues" dxfId="3" priority="145"/>
  </conditionalFormatting>
  <conditionalFormatting sqref="M716">
    <cfRule type="duplicateValues" dxfId="3" priority="144"/>
  </conditionalFormatting>
  <conditionalFormatting sqref="M717">
    <cfRule type="duplicateValues" dxfId="3" priority="143"/>
  </conditionalFormatting>
  <conditionalFormatting sqref="M718">
    <cfRule type="duplicateValues" dxfId="3" priority="142"/>
  </conditionalFormatting>
  <conditionalFormatting sqref="M719">
    <cfRule type="duplicateValues" dxfId="3" priority="141"/>
  </conditionalFormatting>
  <conditionalFormatting sqref="M720">
    <cfRule type="duplicateValues" dxfId="3" priority="140"/>
  </conditionalFormatting>
  <conditionalFormatting sqref="M721">
    <cfRule type="duplicateValues" dxfId="3" priority="139"/>
  </conditionalFormatting>
  <conditionalFormatting sqref="M722">
    <cfRule type="duplicateValues" dxfId="3" priority="138"/>
  </conditionalFormatting>
  <conditionalFormatting sqref="M723">
    <cfRule type="duplicateValues" dxfId="3" priority="137"/>
  </conditionalFormatting>
  <conditionalFormatting sqref="M724">
    <cfRule type="duplicateValues" dxfId="3" priority="136"/>
  </conditionalFormatting>
  <conditionalFormatting sqref="M725">
    <cfRule type="duplicateValues" dxfId="3" priority="135"/>
  </conditionalFormatting>
  <conditionalFormatting sqref="M726">
    <cfRule type="duplicateValues" dxfId="3" priority="134"/>
  </conditionalFormatting>
  <conditionalFormatting sqref="M727">
    <cfRule type="duplicateValues" dxfId="3" priority="133"/>
  </conditionalFormatting>
  <conditionalFormatting sqref="M728">
    <cfRule type="duplicateValues" dxfId="3" priority="132"/>
  </conditionalFormatting>
  <conditionalFormatting sqref="M729">
    <cfRule type="duplicateValues" dxfId="3" priority="131"/>
  </conditionalFormatting>
  <conditionalFormatting sqref="M730">
    <cfRule type="duplicateValues" dxfId="3" priority="130"/>
  </conditionalFormatting>
  <conditionalFormatting sqref="M731">
    <cfRule type="duplicateValues" dxfId="3" priority="129"/>
  </conditionalFormatting>
  <conditionalFormatting sqref="M732">
    <cfRule type="duplicateValues" dxfId="3" priority="128"/>
  </conditionalFormatting>
  <conditionalFormatting sqref="M733">
    <cfRule type="duplicateValues" dxfId="3" priority="127"/>
  </conditionalFormatting>
  <conditionalFormatting sqref="M734">
    <cfRule type="duplicateValues" dxfId="3" priority="126"/>
  </conditionalFormatting>
  <conditionalFormatting sqref="M735">
    <cfRule type="duplicateValues" dxfId="3" priority="125"/>
  </conditionalFormatting>
  <conditionalFormatting sqref="M736">
    <cfRule type="duplicateValues" dxfId="3" priority="124"/>
  </conditionalFormatting>
  <conditionalFormatting sqref="M737">
    <cfRule type="duplicateValues" dxfId="3" priority="123"/>
  </conditionalFormatting>
  <conditionalFormatting sqref="M738">
    <cfRule type="duplicateValues" dxfId="3" priority="122"/>
  </conditionalFormatting>
  <conditionalFormatting sqref="M739">
    <cfRule type="duplicateValues" dxfId="3" priority="121"/>
  </conditionalFormatting>
  <conditionalFormatting sqref="M740">
    <cfRule type="duplicateValues" dxfId="3" priority="120"/>
  </conditionalFormatting>
  <conditionalFormatting sqref="M741">
    <cfRule type="duplicateValues" dxfId="3" priority="119"/>
  </conditionalFormatting>
  <conditionalFormatting sqref="M742">
    <cfRule type="duplicateValues" dxfId="3" priority="118"/>
  </conditionalFormatting>
  <conditionalFormatting sqref="M743">
    <cfRule type="duplicateValues" dxfId="3" priority="117"/>
  </conditionalFormatting>
  <conditionalFormatting sqref="M744">
    <cfRule type="duplicateValues" dxfId="3" priority="116"/>
  </conditionalFormatting>
  <conditionalFormatting sqref="M745">
    <cfRule type="duplicateValues" dxfId="3" priority="115"/>
  </conditionalFormatting>
  <conditionalFormatting sqref="M746">
    <cfRule type="duplicateValues" dxfId="3" priority="114"/>
  </conditionalFormatting>
  <conditionalFormatting sqref="M747">
    <cfRule type="duplicateValues" dxfId="3" priority="113"/>
  </conditionalFormatting>
  <conditionalFormatting sqref="M748">
    <cfRule type="duplicateValues" dxfId="3" priority="112"/>
  </conditionalFormatting>
  <conditionalFormatting sqref="M749">
    <cfRule type="duplicateValues" dxfId="3" priority="111"/>
  </conditionalFormatting>
  <conditionalFormatting sqref="M750">
    <cfRule type="duplicateValues" dxfId="3" priority="110"/>
  </conditionalFormatting>
  <conditionalFormatting sqref="M751">
    <cfRule type="duplicateValues" dxfId="3" priority="109"/>
  </conditionalFormatting>
  <conditionalFormatting sqref="M752">
    <cfRule type="duplicateValues" dxfId="3" priority="108"/>
  </conditionalFormatting>
  <conditionalFormatting sqref="M753">
    <cfRule type="duplicateValues" dxfId="3" priority="107"/>
  </conditionalFormatting>
  <conditionalFormatting sqref="M754">
    <cfRule type="duplicateValues" dxfId="3" priority="106"/>
  </conditionalFormatting>
  <conditionalFormatting sqref="M755">
    <cfRule type="duplicateValues" dxfId="3" priority="105"/>
  </conditionalFormatting>
  <conditionalFormatting sqref="M756">
    <cfRule type="duplicateValues" dxfId="3" priority="104"/>
  </conditionalFormatting>
  <conditionalFormatting sqref="M757">
    <cfRule type="duplicateValues" dxfId="3" priority="103"/>
  </conditionalFormatting>
  <conditionalFormatting sqref="M758">
    <cfRule type="duplicateValues" dxfId="3" priority="102"/>
  </conditionalFormatting>
  <conditionalFormatting sqref="M759">
    <cfRule type="duplicateValues" dxfId="3" priority="101"/>
  </conditionalFormatting>
  <conditionalFormatting sqref="M760">
    <cfRule type="duplicateValues" dxfId="3" priority="100"/>
  </conditionalFormatting>
  <conditionalFormatting sqref="M761">
    <cfRule type="duplicateValues" dxfId="3" priority="99"/>
  </conditionalFormatting>
  <conditionalFormatting sqref="M762">
    <cfRule type="duplicateValues" dxfId="3" priority="98"/>
  </conditionalFormatting>
  <conditionalFormatting sqref="M763">
    <cfRule type="duplicateValues" dxfId="3" priority="97"/>
  </conditionalFormatting>
  <conditionalFormatting sqref="M764">
    <cfRule type="duplicateValues" dxfId="3" priority="96"/>
  </conditionalFormatting>
  <conditionalFormatting sqref="M765">
    <cfRule type="duplicateValues" dxfId="3" priority="95"/>
  </conditionalFormatting>
  <conditionalFormatting sqref="M766">
    <cfRule type="duplicateValues" dxfId="3" priority="94"/>
  </conditionalFormatting>
  <conditionalFormatting sqref="M767">
    <cfRule type="duplicateValues" dxfId="3" priority="93"/>
  </conditionalFormatting>
  <conditionalFormatting sqref="M768">
    <cfRule type="duplicateValues" dxfId="3" priority="92"/>
  </conditionalFormatting>
  <conditionalFormatting sqref="M769">
    <cfRule type="duplicateValues" dxfId="3" priority="91"/>
  </conditionalFormatting>
  <conditionalFormatting sqref="M770">
    <cfRule type="duplicateValues" dxfId="3" priority="90"/>
  </conditionalFormatting>
  <conditionalFormatting sqref="M771">
    <cfRule type="duplicateValues" dxfId="3" priority="89"/>
  </conditionalFormatting>
  <conditionalFormatting sqref="M772">
    <cfRule type="duplicateValues" dxfId="3" priority="88"/>
  </conditionalFormatting>
  <conditionalFormatting sqref="M773">
    <cfRule type="duplicateValues" dxfId="3" priority="87"/>
  </conditionalFormatting>
  <conditionalFormatting sqref="M774">
    <cfRule type="duplicateValues" dxfId="3" priority="86"/>
  </conditionalFormatting>
  <conditionalFormatting sqref="M775">
    <cfRule type="duplicateValues" dxfId="3" priority="85"/>
  </conditionalFormatting>
  <conditionalFormatting sqref="M776">
    <cfRule type="duplicateValues" dxfId="3" priority="84"/>
  </conditionalFormatting>
  <conditionalFormatting sqref="M777">
    <cfRule type="duplicateValues" dxfId="3" priority="83"/>
  </conditionalFormatting>
  <conditionalFormatting sqref="M778">
    <cfRule type="duplicateValues" dxfId="3" priority="82"/>
  </conditionalFormatting>
  <conditionalFormatting sqref="M779">
    <cfRule type="duplicateValues" dxfId="3" priority="81"/>
  </conditionalFormatting>
  <conditionalFormatting sqref="M780">
    <cfRule type="duplicateValues" dxfId="3" priority="80"/>
  </conditionalFormatting>
  <conditionalFormatting sqref="M781">
    <cfRule type="duplicateValues" dxfId="3" priority="79"/>
  </conditionalFormatting>
  <conditionalFormatting sqref="M782">
    <cfRule type="duplicateValues" dxfId="3" priority="78"/>
  </conditionalFormatting>
  <conditionalFormatting sqref="M783">
    <cfRule type="duplicateValues" dxfId="3" priority="77"/>
  </conditionalFormatting>
  <conditionalFormatting sqref="M784">
    <cfRule type="duplicateValues" dxfId="3" priority="76"/>
  </conditionalFormatting>
  <conditionalFormatting sqref="M785">
    <cfRule type="duplicateValues" dxfId="3" priority="74"/>
  </conditionalFormatting>
  <conditionalFormatting sqref="M786">
    <cfRule type="duplicateValues" dxfId="3" priority="73"/>
  </conditionalFormatting>
  <conditionalFormatting sqref="M787">
    <cfRule type="duplicateValues" dxfId="3" priority="72"/>
  </conditionalFormatting>
  <conditionalFormatting sqref="M788">
    <cfRule type="duplicateValues" dxfId="3" priority="71"/>
  </conditionalFormatting>
  <conditionalFormatting sqref="M789">
    <cfRule type="duplicateValues" dxfId="3" priority="70"/>
  </conditionalFormatting>
  <conditionalFormatting sqref="M790">
    <cfRule type="duplicateValues" dxfId="3" priority="69"/>
  </conditionalFormatting>
  <conditionalFormatting sqref="M791">
    <cfRule type="duplicateValues" dxfId="3" priority="67"/>
  </conditionalFormatting>
  <conditionalFormatting sqref="M792">
    <cfRule type="duplicateValues" dxfId="3" priority="66"/>
  </conditionalFormatting>
  <conditionalFormatting sqref="M793">
    <cfRule type="duplicateValues" dxfId="3" priority="65"/>
  </conditionalFormatting>
  <conditionalFormatting sqref="M794">
    <cfRule type="duplicateValues" dxfId="3" priority="64"/>
  </conditionalFormatting>
  <conditionalFormatting sqref="M795">
    <cfRule type="duplicateValues" dxfId="3" priority="62"/>
  </conditionalFormatting>
  <conditionalFormatting sqref="M796">
    <cfRule type="duplicateValues" dxfId="3" priority="61"/>
  </conditionalFormatting>
  <conditionalFormatting sqref="M797">
    <cfRule type="duplicateValues" dxfId="3" priority="60"/>
  </conditionalFormatting>
  <conditionalFormatting sqref="M798">
    <cfRule type="duplicateValues" dxfId="3" priority="59"/>
  </conditionalFormatting>
  <conditionalFormatting sqref="M799">
    <cfRule type="duplicateValues" dxfId="3" priority="58"/>
  </conditionalFormatting>
  <conditionalFormatting sqref="M800">
    <cfRule type="duplicateValues" dxfId="3" priority="57"/>
  </conditionalFormatting>
  <conditionalFormatting sqref="M801">
    <cfRule type="duplicateValues" dxfId="3" priority="56"/>
  </conditionalFormatting>
  <conditionalFormatting sqref="M802">
    <cfRule type="duplicateValues" dxfId="3" priority="55"/>
  </conditionalFormatting>
  <conditionalFormatting sqref="M803">
    <cfRule type="duplicateValues" dxfId="3" priority="54"/>
  </conditionalFormatting>
  <conditionalFormatting sqref="M804">
    <cfRule type="duplicateValues" dxfId="3" priority="53"/>
  </conditionalFormatting>
  <conditionalFormatting sqref="M805">
    <cfRule type="duplicateValues" dxfId="3" priority="52"/>
  </conditionalFormatting>
  <conditionalFormatting sqref="M806">
    <cfRule type="duplicateValues" dxfId="3" priority="51"/>
  </conditionalFormatting>
  <conditionalFormatting sqref="M807">
    <cfRule type="duplicateValues" dxfId="3" priority="50"/>
  </conditionalFormatting>
  <conditionalFormatting sqref="M808">
    <cfRule type="duplicateValues" dxfId="3" priority="49"/>
  </conditionalFormatting>
  <conditionalFormatting sqref="M809">
    <cfRule type="duplicateValues" dxfId="3" priority="48"/>
  </conditionalFormatting>
  <conditionalFormatting sqref="M810">
    <cfRule type="duplicateValues" dxfId="3" priority="47"/>
  </conditionalFormatting>
  <conditionalFormatting sqref="M811">
    <cfRule type="duplicateValues" dxfId="3" priority="46"/>
  </conditionalFormatting>
  <conditionalFormatting sqref="M812">
    <cfRule type="duplicateValues" dxfId="3" priority="45"/>
  </conditionalFormatting>
  <conditionalFormatting sqref="M813">
    <cfRule type="duplicateValues" dxfId="3" priority="44"/>
  </conditionalFormatting>
  <conditionalFormatting sqref="M814">
    <cfRule type="duplicateValues" dxfId="3" priority="43"/>
  </conditionalFormatting>
  <conditionalFormatting sqref="M815">
    <cfRule type="duplicateValues" dxfId="3" priority="42"/>
  </conditionalFormatting>
  <conditionalFormatting sqref="M816">
    <cfRule type="duplicateValues" dxfId="3" priority="41"/>
  </conditionalFormatting>
  <conditionalFormatting sqref="M817">
    <cfRule type="duplicateValues" dxfId="3" priority="40"/>
  </conditionalFormatting>
  <conditionalFormatting sqref="M818">
    <cfRule type="duplicateValues" dxfId="3" priority="39"/>
  </conditionalFormatting>
  <conditionalFormatting sqref="M819">
    <cfRule type="duplicateValues" dxfId="3" priority="38"/>
  </conditionalFormatting>
  <conditionalFormatting sqref="M820">
    <cfRule type="duplicateValues" dxfId="3" priority="36"/>
  </conditionalFormatting>
  <conditionalFormatting sqref="M821">
    <cfRule type="duplicateValues" dxfId="3" priority="35"/>
  </conditionalFormatting>
  <conditionalFormatting sqref="M822">
    <cfRule type="duplicateValues" dxfId="3" priority="34"/>
  </conditionalFormatting>
  <conditionalFormatting sqref="M823">
    <cfRule type="duplicateValues" dxfId="3" priority="33"/>
  </conditionalFormatting>
  <conditionalFormatting sqref="M824">
    <cfRule type="duplicateValues" dxfId="3" priority="32"/>
  </conditionalFormatting>
  <conditionalFormatting sqref="M825">
    <cfRule type="duplicateValues" dxfId="3" priority="31"/>
  </conditionalFormatting>
  <conditionalFormatting sqref="M826">
    <cfRule type="duplicateValues" dxfId="3" priority="30"/>
  </conditionalFormatting>
  <conditionalFormatting sqref="M827">
    <cfRule type="duplicateValues" dxfId="3" priority="29"/>
  </conditionalFormatting>
  <conditionalFormatting sqref="M828">
    <cfRule type="duplicateValues" dxfId="3" priority="28"/>
  </conditionalFormatting>
  <conditionalFormatting sqref="M829">
    <cfRule type="duplicateValues" dxfId="3" priority="26"/>
  </conditionalFormatting>
  <conditionalFormatting sqref="M830">
    <cfRule type="duplicateValues" dxfId="3" priority="25"/>
  </conditionalFormatting>
  <conditionalFormatting sqref="M831">
    <cfRule type="duplicateValues" dxfId="3" priority="24"/>
  </conditionalFormatting>
  <conditionalFormatting sqref="M832">
    <cfRule type="duplicateValues" dxfId="3" priority="23"/>
  </conditionalFormatting>
  <conditionalFormatting sqref="M833">
    <cfRule type="duplicateValues" dxfId="3" priority="22"/>
  </conditionalFormatting>
  <conditionalFormatting sqref="M834">
    <cfRule type="duplicateValues" dxfId="3" priority="21"/>
  </conditionalFormatting>
  <conditionalFormatting sqref="M835">
    <cfRule type="duplicateValues" dxfId="3" priority="20"/>
  </conditionalFormatting>
  <conditionalFormatting sqref="M836">
    <cfRule type="duplicateValues" dxfId="3" priority="19"/>
  </conditionalFormatting>
  <conditionalFormatting sqref="M837">
    <cfRule type="duplicateValues" dxfId="3" priority="1"/>
  </conditionalFormatting>
  <conditionalFormatting sqref="C264:C270">
    <cfRule type="duplicateValues" dxfId="3" priority="1538"/>
  </conditionalFormatting>
  <conditionalFormatting sqref="M267:M268">
    <cfRule type="duplicateValues" dxfId="3" priority="63"/>
  </conditionalFormatting>
  <conditionalFormatting sqref="M313:M340">
    <cfRule type="duplicateValues" dxfId="3" priority="1532"/>
  </conditionalFormatting>
  <conditionalFormatting sqref="M271:M552 M262">
    <cfRule type="duplicateValues" dxfId="3" priority="1531"/>
  </conditionalFormatting>
  <conditionalFormatting sqref="M271:M312 M262 M341:M552">
    <cfRule type="duplicateValues" dxfId="3" priority="1536"/>
  </conditionalFormatting>
  <conditionalFormatting sqref="M266 M270">
    <cfRule type="duplicateValues" dxfId="3" priority="1524"/>
  </conditionalFormatting>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678"/>
  <sheetViews>
    <sheetView workbookViewId="0">
      <pane ySplit="1" topLeftCell="A2" activePane="bottomLeft" state="frozen"/>
      <selection/>
      <selection pane="bottomLeft" activeCell="F651" sqref="F651"/>
    </sheetView>
  </sheetViews>
  <sheetFormatPr defaultColWidth="9" defaultRowHeight="13.5" outlineLevelCol="6"/>
  <cols>
    <col min="1" max="1" width="10.625" customWidth="1"/>
    <col min="2" max="2" width="59.875" customWidth="1"/>
    <col min="4" max="4" width="34.25" customWidth="1"/>
    <col min="5" max="5" width="12.5" customWidth="1"/>
    <col min="6" max="6" width="16" customWidth="1"/>
    <col min="7" max="7" width="26.5" customWidth="1"/>
  </cols>
  <sheetData>
    <row r="1" ht="15" spans="1:7">
      <c r="A1" s="7" t="s">
        <v>1531</v>
      </c>
      <c r="B1" s="7" t="s">
        <v>1532</v>
      </c>
      <c r="C1" s="7" t="s">
        <v>18</v>
      </c>
      <c r="D1" s="7" t="s">
        <v>1533</v>
      </c>
      <c r="E1" s="7"/>
      <c r="F1" t="s">
        <v>1534</v>
      </c>
      <c r="G1" s="8" t="s">
        <v>1535</v>
      </c>
    </row>
    <row r="2" spans="1:7">
      <c r="A2" s="9">
        <v>1006</v>
      </c>
      <c r="B2" s="10" t="s">
        <v>948</v>
      </c>
      <c r="C2" s="11">
        <v>0.09</v>
      </c>
      <c r="D2" s="12" t="s">
        <v>1536</v>
      </c>
      <c r="E2" s="13" t="s">
        <v>1075</v>
      </c>
      <c r="G2" s="14" t="s">
        <v>1537</v>
      </c>
    </row>
    <row r="3" spans="1:7">
      <c r="A3" s="15">
        <v>3155</v>
      </c>
      <c r="B3" s="16" t="s">
        <v>950</v>
      </c>
      <c r="C3" s="17">
        <v>0.09</v>
      </c>
      <c r="D3" s="18" t="s">
        <v>1536</v>
      </c>
      <c r="E3" s="19"/>
      <c r="G3" s="14" t="s">
        <v>1538</v>
      </c>
    </row>
    <row r="4" spans="1:7">
      <c r="A4" s="15">
        <v>3156</v>
      </c>
      <c r="B4" s="16" t="s">
        <v>951</v>
      </c>
      <c r="C4" s="17">
        <v>0.09</v>
      </c>
      <c r="D4" s="18" t="s">
        <v>1536</v>
      </c>
      <c r="E4" s="19"/>
      <c r="G4" s="14" t="s">
        <v>1539</v>
      </c>
    </row>
    <row r="5" spans="1:7">
      <c r="A5" s="15">
        <v>3157</v>
      </c>
      <c r="B5" s="16" t="s">
        <v>952</v>
      </c>
      <c r="C5" s="17">
        <v>0.09</v>
      </c>
      <c r="D5" s="18" t="s">
        <v>1536</v>
      </c>
      <c r="E5" s="19"/>
      <c r="G5" s="14" t="s">
        <v>1540</v>
      </c>
    </row>
    <row r="6" spans="1:7">
      <c r="A6" s="9">
        <v>1024</v>
      </c>
      <c r="B6" s="10" t="s">
        <v>953</v>
      </c>
      <c r="C6" s="11">
        <v>0.09</v>
      </c>
      <c r="D6" s="12" t="s">
        <v>1536</v>
      </c>
      <c r="E6" s="13" t="s">
        <v>1075</v>
      </c>
      <c r="G6" s="14" t="s">
        <v>1541</v>
      </c>
    </row>
    <row r="7" spans="1:7">
      <c r="A7" s="9">
        <v>1027</v>
      </c>
      <c r="B7" s="10" t="s">
        <v>954</v>
      </c>
      <c r="C7" s="11">
        <v>0.09</v>
      </c>
      <c r="D7" s="12" t="s">
        <v>1536</v>
      </c>
      <c r="E7" s="13" t="s">
        <v>1075</v>
      </c>
      <c r="G7" s="14" t="s">
        <v>1542</v>
      </c>
    </row>
    <row r="8" spans="1:7">
      <c r="A8" s="9">
        <v>1031</v>
      </c>
      <c r="B8" s="10" t="s">
        <v>955</v>
      </c>
      <c r="C8" s="11">
        <v>0.09</v>
      </c>
      <c r="D8" s="12" t="s">
        <v>1536</v>
      </c>
      <c r="E8" s="13" t="s">
        <v>1075</v>
      </c>
      <c r="G8" s="14" t="s">
        <v>1543</v>
      </c>
    </row>
    <row r="9" spans="1:7">
      <c r="A9" s="9">
        <v>1032</v>
      </c>
      <c r="B9" s="10" t="s">
        <v>956</v>
      </c>
      <c r="C9" s="11">
        <v>0.09</v>
      </c>
      <c r="D9" s="12" t="s">
        <v>1536</v>
      </c>
      <c r="E9" s="13" t="s">
        <v>1075</v>
      </c>
      <c r="G9" s="14" t="s">
        <v>1544</v>
      </c>
    </row>
    <row r="10" spans="1:7">
      <c r="A10" s="9">
        <v>1967</v>
      </c>
      <c r="B10" s="10" t="s">
        <v>957</v>
      </c>
      <c r="C10" s="11">
        <v>0.09</v>
      </c>
      <c r="D10" s="12" t="s">
        <v>1536</v>
      </c>
      <c r="E10" s="13"/>
      <c r="G10" s="14" t="s">
        <v>1545</v>
      </c>
    </row>
    <row r="11" spans="1:7">
      <c r="A11" s="9">
        <v>1034</v>
      </c>
      <c r="B11" s="10" t="s">
        <v>958</v>
      </c>
      <c r="C11" s="11">
        <v>0.09</v>
      </c>
      <c r="D11" s="12" t="s">
        <v>1536</v>
      </c>
      <c r="E11" s="13" t="s">
        <v>1075</v>
      </c>
      <c r="G11" s="14" t="s">
        <v>1546</v>
      </c>
    </row>
    <row r="12" spans="1:7">
      <c r="A12" s="9">
        <v>1035</v>
      </c>
      <c r="B12" s="10" t="s">
        <v>959</v>
      </c>
      <c r="C12" s="11">
        <v>0.09</v>
      </c>
      <c r="D12" s="12" t="s">
        <v>1536</v>
      </c>
      <c r="E12" s="13" t="s">
        <v>1075</v>
      </c>
      <c r="G12" s="14" t="s">
        <v>1547</v>
      </c>
    </row>
    <row r="13" spans="1:7">
      <c r="A13" s="9">
        <v>2037</v>
      </c>
      <c r="B13" s="10" t="s">
        <v>960</v>
      </c>
      <c r="C13" s="11">
        <v>0.09</v>
      </c>
      <c r="D13" s="12" t="s">
        <v>1536</v>
      </c>
      <c r="E13" s="13"/>
      <c r="G13" s="14" t="s">
        <v>1548</v>
      </c>
    </row>
    <row r="14" spans="1:7">
      <c r="A14" s="20">
        <v>1036</v>
      </c>
      <c r="B14" s="21" t="s">
        <v>961</v>
      </c>
      <c r="C14" s="22">
        <v>0</v>
      </c>
      <c r="D14" s="23" t="s">
        <v>1549</v>
      </c>
      <c r="E14" s="23" t="s">
        <v>1549</v>
      </c>
      <c r="F14" s="14" t="s">
        <v>1550</v>
      </c>
      <c r="G14" s="14" t="s">
        <v>1551</v>
      </c>
    </row>
    <row r="15" spans="1:7">
      <c r="A15" s="20">
        <v>1037</v>
      </c>
      <c r="B15" s="21" t="s">
        <v>962</v>
      </c>
      <c r="C15" s="22">
        <v>0</v>
      </c>
      <c r="D15" s="23" t="s">
        <v>1549</v>
      </c>
      <c r="E15" s="23" t="s">
        <v>1549</v>
      </c>
      <c r="F15" s="14" t="s">
        <v>1550</v>
      </c>
      <c r="G15" s="14" t="s">
        <v>1552</v>
      </c>
    </row>
    <row r="16" spans="1:7">
      <c r="A16" s="9">
        <v>2961</v>
      </c>
      <c r="B16" s="10" t="s">
        <v>963</v>
      </c>
      <c r="C16" s="11">
        <v>0.09</v>
      </c>
      <c r="D16" s="12" t="s">
        <v>1536</v>
      </c>
      <c r="E16" s="13"/>
      <c r="G16" s="14" t="s">
        <v>1553</v>
      </c>
    </row>
    <row r="17" spans="1:7">
      <c r="A17" s="9">
        <v>1042</v>
      </c>
      <c r="B17" s="10" t="s">
        <v>964</v>
      </c>
      <c r="C17" s="11">
        <v>0.06</v>
      </c>
      <c r="D17" s="12" t="s">
        <v>1554</v>
      </c>
      <c r="E17" s="13" t="s">
        <v>1075</v>
      </c>
      <c r="G17" s="14" t="s">
        <v>1555</v>
      </c>
    </row>
    <row r="18" spans="1:7">
      <c r="A18" s="9">
        <v>1043</v>
      </c>
      <c r="B18" s="10" t="s">
        <v>965</v>
      </c>
      <c r="C18" s="11">
        <v>0.06</v>
      </c>
      <c r="D18" s="12" t="s">
        <v>1554</v>
      </c>
      <c r="E18" s="13" t="s">
        <v>1075</v>
      </c>
      <c r="G18" s="14" t="s">
        <v>1556</v>
      </c>
    </row>
    <row r="19" spans="1:7">
      <c r="A19" s="9">
        <v>2702</v>
      </c>
      <c r="B19" s="10" t="s">
        <v>966</v>
      </c>
      <c r="C19" s="11">
        <v>0.06</v>
      </c>
      <c r="D19" s="12" t="s">
        <v>1554</v>
      </c>
      <c r="E19" s="13"/>
      <c r="G19" s="14" t="s">
        <v>1557</v>
      </c>
    </row>
    <row r="20" spans="1:7">
      <c r="A20" s="9">
        <v>2703</v>
      </c>
      <c r="B20" s="10" t="s">
        <v>967</v>
      </c>
      <c r="C20" s="11">
        <v>0.06</v>
      </c>
      <c r="D20" s="12" t="s">
        <v>1554</v>
      </c>
      <c r="E20" s="13"/>
      <c r="G20" s="14" t="s">
        <v>1558</v>
      </c>
    </row>
    <row r="21" spans="1:7">
      <c r="A21" s="9">
        <v>1046</v>
      </c>
      <c r="B21" s="10" t="s">
        <v>968</v>
      </c>
      <c r="C21" s="11">
        <v>0.06</v>
      </c>
      <c r="D21" s="12" t="s">
        <v>1554</v>
      </c>
      <c r="E21" s="13" t="s">
        <v>1075</v>
      </c>
      <c r="G21" s="14" t="s">
        <v>1559</v>
      </c>
    </row>
    <row r="22" spans="1:7">
      <c r="A22" s="9">
        <v>1047</v>
      </c>
      <c r="B22" s="10" t="s">
        <v>969</v>
      </c>
      <c r="C22" s="11">
        <v>0.06</v>
      </c>
      <c r="D22" s="12" t="s">
        <v>1554</v>
      </c>
      <c r="E22" s="13" t="s">
        <v>1075</v>
      </c>
      <c r="G22" s="14" t="s">
        <v>1560</v>
      </c>
    </row>
    <row r="23" spans="1:7">
      <c r="A23" s="9">
        <v>1049</v>
      </c>
      <c r="B23" s="10" t="s">
        <v>970</v>
      </c>
      <c r="C23" s="11">
        <v>0.06</v>
      </c>
      <c r="D23" s="12" t="s">
        <v>1554</v>
      </c>
      <c r="E23" s="13" t="s">
        <v>1075</v>
      </c>
      <c r="G23" s="14" t="s">
        <v>1561</v>
      </c>
    </row>
    <row r="24" spans="1:7">
      <c r="A24" s="9">
        <v>1052</v>
      </c>
      <c r="B24" s="10" t="s">
        <v>971</v>
      </c>
      <c r="C24" s="11">
        <v>0.06</v>
      </c>
      <c r="D24" s="12" t="s">
        <v>1554</v>
      </c>
      <c r="E24" s="13" t="s">
        <v>1075</v>
      </c>
      <c r="G24" s="14" t="s">
        <v>1562</v>
      </c>
    </row>
    <row r="25" spans="1:7">
      <c r="A25" s="9">
        <v>2962</v>
      </c>
      <c r="B25" s="10" t="s">
        <v>972</v>
      </c>
      <c r="C25" s="11">
        <v>0.06</v>
      </c>
      <c r="D25" s="12" t="s">
        <v>1554</v>
      </c>
      <c r="E25" s="13"/>
      <c r="G25" s="14" t="s">
        <v>1563</v>
      </c>
    </row>
    <row r="26" spans="1:7">
      <c r="A26" s="15">
        <v>3158</v>
      </c>
      <c r="B26" s="16" t="s">
        <v>973</v>
      </c>
      <c r="C26" s="17">
        <v>0.06</v>
      </c>
      <c r="D26" s="18" t="s">
        <v>1554</v>
      </c>
      <c r="E26" s="19"/>
      <c r="G26" s="14" t="s">
        <v>1564</v>
      </c>
    </row>
    <row r="27" spans="1:7">
      <c r="A27" s="9">
        <v>1085</v>
      </c>
      <c r="B27" s="10" t="s">
        <v>974</v>
      </c>
      <c r="C27" s="11">
        <v>0.06</v>
      </c>
      <c r="D27" s="12" t="s">
        <v>1554</v>
      </c>
      <c r="E27" s="13" t="s">
        <v>1075</v>
      </c>
      <c r="G27" s="14" t="s">
        <v>1565</v>
      </c>
    </row>
    <row r="28" spans="1:7">
      <c r="A28" s="9">
        <v>1086</v>
      </c>
      <c r="B28" s="10" t="s">
        <v>975</v>
      </c>
      <c r="C28" s="11">
        <v>0.06</v>
      </c>
      <c r="D28" s="12" t="s">
        <v>1554</v>
      </c>
      <c r="E28" s="13" t="s">
        <v>1075</v>
      </c>
      <c r="G28" s="14" t="s">
        <v>1566</v>
      </c>
    </row>
    <row r="29" spans="1:7">
      <c r="A29" s="20">
        <v>2673</v>
      </c>
      <c r="B29" s="21" t="s">
        <v>976</v>
      </c>
      <c r="C29" s="24">
        <v>0</v>
      </c>
      <c r="D29" s="25" t="s">
        <v>1549</v>
      </c>
      <c r="E29" s="26" t="s">
        <v>1549</v>
      </c>
      <c r="F29" s="14" t="s">
        <v>1550</v>
      </c>
      <c r="G29" s="14" t="s">
        <v>1567</v>
      </c>
    </row>
    <row r="30" spans="1:7">
      <c r="A30" s="9">
        <v>1060</v>
      </c>
      <c r="B30" s="10" t="s">
        <v>977</v>
      </c>
      <c r="C30" s="11">
        <v>0.06</v>
      </c>
      <c r="D30" s="12" t="s">
        <v>1554</v>
      </c>
      <c r="E30" s="13" t="s">
        <v>1075</v>
      </c>
      <c r="G30" s="14" t="s">
        <v>42</v>
      </c>
    </row>
    <row r="31" spans="1:7">
      <c r="A31" s="15">
        <v>3159</v>
      </c>
      <c r="B31" s="16" t="s">
        <v>978</v>
      </c>
      <c r="C31" s="17">
        <v>0.06</v>
      </c>
      <c r="D31" s="18" t="s">
        <v>1568</v>
      </c>
      <c r="E31" s="19"/>
      <c r="G31" s="14" t="s">
        <v>1569</v>
      </c>
    </row>
    <row r="32" spans="1:7">
      <c r="A32" s="15">
        <v>3160</v>
      </c>
      <c r="B32" s="16" t="s">
        <v>979</v>
      </c>
      <c r="C32" s="17">
        <v>0.06</v>
      </c>
      <c r="D32" s="18" t="s">
        <v>1568</v>
      </c>
      <c r="E32" s="19"/>
      <c r="G32" s="14" t="s">
        <v>1570</v>
      </c>
    </row>
    <row r="33" spans="1:7">
      <c r="A33" s="15">
        <v>3161</v>
      </c>
      <c r="B33" s="16" t="s">
        <v>980</v>
      </c>
      <c r="C33" s="17">
        <v>0.06</v>
      </c>
      <c r="D33" s="18" t="s">
        <v>1568</v>
      </c>
      <c r="E33" s="19"/>
      <c r="G33" s="14" t="s">
        <v>1571</v>
      </c>
    </row>
    <row r="34" spans="1:7">
      <c r="A34" s="9">
        <v>2705</v>
      </c>
      <c r="B34" s="10" t="s">
        <v>981</v>
      </c>
      <c r="C34" s="11">
        <v>0.06</v>
      </c>
      <c r="D34" s="12" t="s">
        <v>1568</v>
      </c>
      <c r="E34" s="13"/>
      <c r="G34" s="14" t="s">
        <v>1572</v>
      </c>
    </row>
    <row r="35" spans="1:7">
      <c r="A35" s="9">
        <v>1074</v>
      </c>
      <c r="B35" s="10" t="s">
        <v>982</v>
      </c>
      <c r="C35" s="11">
        <v>0.06</v>
      </c>
      <c r="D35" s="12" t="s">
        <v>1568</v>
      </c>
      <c r="E35" s="13" t="s">
        <v>1075</v>
      </c>
      <c r="G35" s="14" t="s">
        <v>1573</v>
      </c>
    </row>
    <row r="36" spans="1:7">
      <c r="A36" s="9">
        <v>1075</v>
      </c>
      <c r="B36" s="10" t="s">
        <v>983</v>
      </c>
      <c r="C36" s="11">
        <v>0.06</v>
      </c>
      <c r="D36" s="12" t="s">
        <v>1568</v>
      </c>
      <c r="E36" s="13" t="s">
        <v>1075</v>
      </c>
      <c r="G36" s="14" t="s">
        <v>1574</v>
      </c>
    </row>
    <row r="37" spans="1:7">
      <c r="A37" s="9">
        <v>1968</v>
      </c>
      <c r="B37" s="10" t="s">
        <v>984</v>
      </c>
      <c r="C37" s="11">
        <v>0.06</v>
      </c>
      <c r="D37" s="12" t="s">
        <v>1568</v>
      </c>
      <c r="E37" s="13"/>
      <c r="G37" s="14" t="s">
        <v>1575</v>
      </c>
    </row>
    <row r="38" ht="21" spans="1:7">
      <c r="A38" s="9">
        <v>1165</v>
      </c>
      <c r="B38" s="10" t="s">
        <v>985</v>
      </c>
      <c r="C38" s="11">
        <v>0.06</v>
      </c>
      <c r="D38" s="12" t="s">
        <v>1576</v>
      </c>
      <c r="E38" s="13" t="s">
        <v>1075</v>
      </c>
      <c r="G38" s="14" t="s">
        <v>1577</v>
      </c>
    </row>
    <row r="39" ht="21" spans="1:7">
      <c r="A39" s="9">
        <v>1166</v>
      </c>
      <c r="B39" s="10" t="s">
        <v>986</v>
      </c>
      <c r="C39" s="11">
        <v>0.06</v>
      </c>
      <c r="D39" s="12" t="s">
        <v>1576</v>
      </c>
      <c r="E39" s="13" t="s">
        <v>1075</v>
      </c>
      <c r="G39" s="14" t="s">
        <v>1578</v>
      </c>
    </row>
    <row r="40" spans="1:7">
      <c r="A40" s="9">
        <v>1080</v>
      </c>
      <c r="B40" s="10" t="s">
        <v>987</v>
      </c>
      <c r="C40" s="11">
        <v>0.06</v>
      </c>
      <c r="D40" s="12" t="s">
        <v>1568</v>
      </c>
      <c r="E40" s="13" t="s">
        <v>1075</v>
      </c>
      <c r="G40" s="14" t="s">
        <v>1579</v>
      </c>
    </row>
    <row r="41" spans="1:7">
      <c r="A41" s="9">
        <v>1081</v>
      </c>
      <c r="B41" s="10" t="s">
        <v>988</v>
      </c>
      <c r="C41" s="11">
        <v>0.06</v>
      </c>
      <c r="D41" s="12" t="s">
        <v>1568</v>
      </c>
      <c r="E41" s="13" t="s">
        <v>1075</v>
      </c>
      <c r="G41" s="14" t="s">
        <v>1580</v>
      </c>
    </row>
    <row r="42" spans="1:7">
      <c r="A42" s="9">
        <v>2683</v>
      </c>
      <c r="B42" s="27" t="s">
        <v>989</v>
      </c>
      <c r="C42" s="11">
        <v>0.06</v>
      </c>
      <c r="D42" s="12" t="s">
        <v>1568</v>
      </c>
      <c r="E42" s="13"/>
      <c r="G42" s="14" t="s">
        <v>1581</v>
      </c>
    </row>
    <row r="43" spans="1:7">
      <c r="A43" s="9">
        <v>1969</v>
      </c>
      <c r="B43" s="10" t="s">
        <v>990</v>
      </c>
      <c r="C43" s="11">
        <v>0.06</v>
      </c>
      <c r="D43" s="12" t="s">
        <v>1568</v>
      </c>
      <c r="E43" s="13"/>
      <c r="G43" s="14" t="s">
        <v>1582</v>
      </c>
    </row>
    <row r="44" ht="21" spans="1:7">
      <c r="A44" s="9">
        <v>1186</v>
      </c>
      <c r="B44" s="10" t="s">
        <v>991</v>
      </c>
      <c r="C44" s="11">
        <v>0.06</v>
      </c>
      <c r="D44" s="12" t="s">
        <v>1576</v>
      </c>
      <c r="E44" s="13" t="s">
        <v>1075</v>
      </c>
      <c r="G44" s="14" t="s">
        <v>1583</v>
      </c>
    </row>
    <row r="45" ht="21" spans="1:7">
      <c r="A45" s="9">
        <v>1187</v>
      </c>
      <c r="B45" s="10" t="s">
        <v>992</v>
      </c>
      <c r="C45" s="11">
        <v>0.06</v>
      </c>
      <c r="D45" s="12" t="s">
        <v>1576</v>
      </c>
      <c r="E45" s="13" t="s">
        <v>1075</v>
      </c>
      <c r="G45" s="14" t="s">
        <v>1584</v>
      </c>
    </row>
    <row r="46" spans="1:7">
      <c r="A46" s="9">
        <v>1094</v>
      </c>
      <c r="B46" s="10" t="s">
        <v>993</v>
      </c>
      <c r="C46" s="11">
        <v>0.06</v>
      </c>
      <c r="D46" s="12" t="s">
        <v>1568</v>
      </c>
      <c r="E46" s="13" t="s">
        <v>1075</v>
      </c>
      <c r="G46" s="14" t="s">
        <v>1585</v>
      </c>
    </row>
    <row r="47" spans="1:7">
      <c r="A47" s="9">
        <v>1095</v>
      </c>
      <c r="B47" s="10" t="s">
        <v>994</v>
      </c>
      <c r="C47" s="11">
        <v>0.06</v>
      </c>
      <c r="D47" s="12" t="s">
        <v>1568</v>
      </c>
      <c r="E47" s="13" t="s">
        <v>1075</v>
      </c>
      <c r="G47" s="14" t="s">
        <v>1586</v>
      </c>
    </row>
    <row r="48" spans="1:7">
      <c r="A48" s="9">
        <v>1970</v>
      </c>
      <c r="B48" s="10" t="s">
        <v>995</v>
      </c>
      <c r="C48" s="11">
        <v>0.06</v>
      </c>
      <c r="D48" s="12" t="s">
        <v>1568</v>
      </c>
      <c r="E48" s="13"/>
      <c r="G48" s="14" t="s">
        <v>1587</v>
      </c>
    </row>
    <row r="49" spans="1:7">
      <c r="A49" s="9">
        <v>1097</v>
      </c>
      <c r="B49" s="10" t="s">
        <v>996</v>
      </c>
      <c r="C49" s="11">
        <v>0.06</v>
      </c>
      <c r="D49" s="12" t="s">
        <v>1568</v>
      </c>
      <c r="E49" s="13" t="s">
        <v>1075</v>
      </c>
      <c r="G49" s="14" t="s">
        <v>1588</v>
      </c>
    </row>
    <row r="50" spans="1:7">
      <c r="A50" s="9">
        <v>1098</v>
      </c>
      <c r="B50" s="10" t="s">
        <v>997</v>
      </c>
      <c r="C50" s="11">
        <v>0.06</v>
      </c>
      <c r="D50" s="12" t="s">
        <v>1568</v>
      </c>
      <c r="E50" s="13" t="s">
        <v>1075</v>
      </c>
      <c r="G50" s="14" t="s">
        <v>1589</v>
      </c>
    </row>
    <row r="51" spans="1:7">
      <c r="A51" s="15">
        <v>3162</v>
      </c>
      <c r="B51" s="16" t="s">
        <v>998</v>
      </c>
      <c r="C51" s="17">
        <v>0</v>
      </c>
      <c r="D51" s="18" t="s">
        <v>1549</v>
      </c>
      <c r="E51" s="19" t="s">
        <v>1549</v>
      </c>
      <c r="F51" s="14" t="s">
        <v>1550</v>
      </c>
      <c r="G51" s="14" t="s">
        <v>1590</v>
      </c>
    </row>
    <row r="52" spans="1:7">
      <c r="A52" s="20">
        <v>1099</v>
      </c>
      <c r="B52" s="21" t="s">
        <v>999</v>
      </c>
      <c r="C52" s="22">
        <v>0</v>
      </c>
      <c r="D52" s="28" t="s">
        <v>1549</v>
      </c>
      <c r="E52" s="23" t="s">
        <v>1549</v>
      </c>
      <c r="F52" s="14" t="s">
        <v>1550</v>
      </c>
      <c r="G52" s="14" t="s">
        <v>1591</v>
      </c>
    </row>
    <row r="53" spans="1:7">
      <c r="A53" s="9">
        <v>1088</v>
      </c>
      <c r="B53" s="10" t="s">
        <v>1000</v>
      </c>
      <c r="C53" s="11">
        <v>0.06</v>
      </c>
      <c r="D53" s="12" t="s">
        <v>1568</v>
      </c>
      <c r="E53" s="13" t="s">
        <v>1075</v>
      </c>
      <c r="G53" s="14" t="s">
        <v>1592</v>
      </c>
    </row>
    <row r="54" spans="1:7">
      <c r="A54" s="9">
        <v>1089</v>
      </c>
      <c r="B54" s="10" t="s">
        <v>1001</v>
      </c>
      <c r="C54" s="11">
        <v>0.06</v>
      </c>
      <c r="D54" s="12" t="s">
        <v>1568</v>
      </c>
      <c r="E54" s="13" t="s">
        <v>1075</v>
      </c>
      <c r="G54" s="14" t="s">
        <v>1593</v>
      </c>
    </row>
    <row r="55" ht="21" spans="1:7">
      <c r="A55" s="9">
        <v>1065</v>
      </c>
      <c r="B55" s="10" t="s">
        <v>1002</v>
      </c>
      <c r="C55" s="11">
        <v>0.06</v>
      </c>
      <c r="D55" s="12" t="s">
        <v>1576</v>
      </c>
      <c r="E55" s="13" t="s">
        <v>1075</v>
      </c>
      <c r="G55" s="14" t="s">
        <v>1594</v>
      </c>
    </row>
    <row r="56" ht="21" spans="1:7">
      <c r="A56" s="9">
        <v>1063</v>
      </c>
      <c r="B56" s="10" t="s">
        <v>1003</v>
      </c>
      <c r="C56" s="11">
        <v>0.06</v>
      </c>
      <c r="D56" s="12" t="s">
        <v>1576</v>
      </c>
      <c r="E56" s="13" t="s">
        <v>1075</v>
      </c>
      <c r="G56" s="14" t="s">
        <v>1595</v>
      </c>
    </row>
    <row r="57" ht="21" spans="1:7">
      <c r="A57" s="9">
        <v>1064</v>
      </c>
      <c r="B57" s="10" t="s">
        <v>1004</v>
      </c>
      <c r="C57" s="11">
        <v>0.06</v>
      </c>
      <c r="D57" s="12" t="s">
        <v>1576</v>
      </c>
      <c r="E57" s="13" t="s">
        <v>1075</v>
      </c>
      <c r="G57" s="14" t="s">
        <v>1596</v>
      </c>
    </row>
    <row r="58" ht="21" spans="1:7">
      <c r="A58" s="9">
        <v>1082</v>
      </c>
      <c r="B58" s="10" t="s">
        <v>1005</v>
      </c>
      <c r="C58" s="11">
        <v>0.06</v>
      </c>
      <c r="D58" s="12" t="s">
        <v>1576</v>
      </c>
      <c r="E58" s="13" t="s">
        <v>1075</v>
      </c>
      <c r="G58" s="14" t="s">
        <v>1597</v>
      </c>
    </row>
    <row r="59" ht="21" spans="1:7">
      <c r="A59" s="20">
        <v>1192</v>
      </c>
      <c r="B59" s="21" t="s">
        <v>1006</v>
      </c>
      <c r="C59" s="22">
        <v>0.06</v>
      </c>
      <c r="D59" s="28" t="s">
        <v>1576</v>
      </c>
      <c r="E59" s="29" t="s">
        <v>1075</v>
      </c>
      <c r="G59" s="14" t="s">
        <v>1598</v>
      </c>
    </row>
    <row r="60" ht="21" spans="1:7">
      <c r="A60" s="20">
        <v>1108</v>
      </c>
      <c r="B60" s="21" t="s">
        <v>1007</v>
      </c>
      <c r="C60" s="22">
        <v>0.06</v>
      </c>
      <c r="D60" s="28" t="s">
        <v>1576</v>
      </c>
      <c r="E60" s="29" t="s">
        <v>1075</v>
      </c>
      <c r="G60" s="14" t="s">
        <v>1599</v>
      </c>
    </row>
    <row r="61" ht="21" spans="1:7">
      <c r="A61" s="9">
        <v>2943</v>
      </c>
      <c r="B61" s="10" t="s">
        <v>212</v>
      </c>
      <c r="C61" s="11">
        <v>0.06</v>
      </c>
      <c r="D61" s="12" t="s">
        <v>1576</v>
      </c>
      <c r="E61" s="13"/>
      <c r="G61" s="14" t="s">
        <v>1600</v>
      </c>
    </row>
    <row r="62" ht="21" spans="1:7">
      <c r="A62" s="9">
        <v>2944</v>
      </c>
      <c r="B62" s="10" t="s">
        <v>1008</v>
      </c>
      <c r="C62" s="11">
        <v>0.06</v>
      </c>
      <c r="D62" s="12" t="s">
        <v>1576</v>
      </c>
      <c r="E62" s="13"/>
      <c r="G62" s="14" t="s">
        <v>1601</v>
      </c>
    </row>
    <row r="63" ht="21" spans="1:7">
      <c r="A63" s="9">
        <v>1119</v>
      </c>
      <c r="B63" s="10" t="s">
        <v>1009</v>
      </c>
      <c r="C63" s="11">
        <v>0.06</v>
      </c>
      <c r="D63" s="12" t="s">
        <v>1576</v>
      </c>
      <c r="E63" s="13" t="s">
        <v>1075</v>
      </c>
      <c r="G63" s="14" t="s">
        <v>1602</v>
      </c>
    </row>
    <row r="64" ht="21" spans="1:7">
      <c r="A64" s="9">
        <v>1159</v>
      </c>
      <c r="B64" s="10" t="s">
        <v>1010</v>
      </c>
      <c r="C64" s="11">
        <v>0.06</v>
      </c>
      <c r="D64" s="12" t="s">
        <v>1576</v>
      </c>
      <c r="E64" s="13" t="s">
        <v>1075</v>
      </c>
      <c r="G64" s="14" t="s">
        <v>1603</v>
      </c>
    </row>
    <row r="65" ht="21" spans="1:7">
      <c r="A65" s="9">
        <v>1160</v>
      </c>
      <c r="B65" s="10" t="s">
        <v>1011</v>
      </c>
      <c r="C65" s="11">
        <v>0.06</v>
      </c>
      <c r="D65" s="12" t="s">
        <v>1576</v>
      </c>
      <c r="E65" s="13" t="s">
        <v>1075</v>
      </c>
      <c r="G65" s="14" t="s">
        <v>1604</v>
      </c>
    </row>
    <row r="66" ht="21" spans="1:7">
      <c r="A66" s="15">
        <v>3163</v>
      </c>
      <c r="B66" s="16" t="s">
        <v>1012</v>
      </c>
      <c r="C66" s="17">
        <v>0.06</v>
      </c>
      <c r="D66" s="18" t="s">
        <v>1576</v>
      </c>
      <c r="E66" s="19"/>
      <c r="G66" s="14" t="s">
        <v>1605</v>
      </c>
    </row>
    <row r="67" ht="21" spans="1:7">
      <c r="A67" s="15">
        <v>3164</v>
      </c>
      <c r="B67" s="16" t="s">
        <v>1013</v>
      </c>
      <c r="C67" s="17">
        <v>0.06</v>
      </c>
      <c r="D67" s="18" t="s">
        <v>1576</v>
      </c>
      <c r="E67" s="19"/>
      <c r="G67" s="14" t="s">
        <v>1606</v>
      </c>
    </row>
    <row r="68" ht="21" spans="1:7">
      <c r="A68" s="9">
        <v>2305</v>
      </c>
      <c r="B68" s="10" t="s">
        <v>1014</v>
      </c>
      <c r="C68" s="11">
        <v>0.06</v>
      </c>
      <c r="D68" s="12" t="s">
        <v>1576</v>
      </c>
      <c r="E68" s="13"/>
      <c r="G68" s="14" t="s">
        <v>1607</v>
      </c>
    </row>
    <row r="69" ht="21" spans="1:7">
      <c r="A69" s="9">
        <v>1125</v>
      </c>
      <c r="B69" s="10" t="s">
        <v>1015</v>
      </c>
      <c r="C69" s="11">
        <v>0.06</v>
      </c>
      <c r="D69" s="12" t="s">
        <v>1576</v>
      </c>
      <c r="E69" s="13" t="s">
        <v>1075</v>
      </c>
      <c r="G69" s="14" t="s">
        <v>1608</v>
      </c>
    </row>
    <row r="70" ht="21" spans="1:5">
      <c r="A70" s="9">
        <v>1126</v>
      </c>
      <c r="B70" s="10" t="s">
        <v>1016</v>
      </c>
      <c r="C70" s="11">
        <v>0.06</v>
      </c>
      <c r="D70" s="12" t="s">
        <v>1576</v>
      </c>
      <c r="E70" s="13" t="s">
        <v>1075</v>
      </c>
    </row>
    <row r="71" ht="42" spans="1:6">
      <c r="A71" s="9">
        <v>3047</v>
      </c>
      <c r="B71" s="10" t="s">
        <v>1018</v>
      </c>
      <c r="C71" s="11" t="s">
        <v>1017</v>
      </c>
      <c r="D71" s="12" t="s">
        <v>1609</v>
      </c>
      <c r="E71" s="30" t="s">
        <v>1610</v>
      </c>
      <c r="F71" s="14" t="s">
        <v>1550</v>
      </c>
    </row>
    <row r="72" ht="42" spans="1:6">
      <c r="A72" s="9">
        <v>3048</v>
      </c>
      <c r="B72" s="10" t="s">
        <v>1019</v>
      </c>
      <c r="C72" s="11" t="s">
        <v>1017</v>
      </c>
      <c r="D72" s="12" t="s">
        <v>1609</v>
      </c>
      <c r="E72" s="30" t="s">
        <v>1610</v>
      </c>
      <c r="F72" s="14" t="s">
        <v>1550</v>
      </c>
    </row>
    <row r="73" ht="42" spans="1:6">
      <c r="A73" s="9">
        <v>3049</v>
      </c>
      <c r="B73" s="10" t="s">
        <v>1020</v>
      </c>
      <c r="C73" s="11" t="s">
        <v>1017</v>
      </c>
      <c r="D73" s="12" t="s">
        <v>1609</v>
      </c>
      <c r="E73" s="30" t="s">
        <v>1610</v>
      </c>
      <c r="F73" s="14" t="s">
        <v>1550</v>
      </c>
    </row>
    <row r="74" ht="42" spans="1:6">
      <c r="A74" s="9">
        <v>3050</v>
      </c>
      <c r="B74" s="10" t="s">
        <v>1021</v>
      </c>
      <c r="C74" s="11" t="s">
        <v>1017</v>
      </c>
      <c r="D74" s="12" t="s">
        <v>1609</v>
      </c>
      <c r="E74" s="30" t="s">
        <v>1610</v>
      </c>
      <c r="F74" s="14" t="s">
        <v>1550</v>
      </c>
    </row>
    <row r="75" ht="42" spans="1:6">
      <c r="A75" s="9">
        <v>3051</v>
      </c>
      <c r="B75" s="10" t="s">
        <v>1022</v>
      </c>
      <c r="C75" s="31" t="s">
        <v>1017</v>
      </c>
      <c r="D75" s="32" t="s">
        <v>1609</v>
      </c>
      <c r="E75" s="30" t="s">
        <v>1610</v>
      </c>
      <c r="F75" s="14" t="s">
        <v>1550</v>
      </c>
    </row>
    <row r="76" ht="21" spans="1:5">
      <c r="A76" s="9">
        <v>1123</v>
      </c>
      <c r="B76" s="10" t="s">
        <v>1023</v>
      </c>
      <c r="C76" s="11">
        <v>0.06</v>
      </c>
      <c r="D76" s="12" t="s">
        <v>1576</v>
      </c>
      <c r="E76" s="13" t="s">
        <v>1075</v>
      </c>
    </row>
    <row r="77" ht="21" spans="1:5">
      <c r="A77" s="9">
        <v>1124</v>
      </c>
      <c r="B77" s="10" t="s">
        <v>1024</v>
      </c>
      <c r="C77" s="11">
        <v>0.06</v>
      </c>
      <c r="D77" s="12" t="s">
        <v>1576</v>
      </c>
      <c r="E77" s="13" t="s">
        <v>1075</v>
      </c>
    </row>
    <row r="78" ht="21" spans="1:5">
      <c r="A78" s="9">
        <v>2726</v>
      </c>
      <c r="B78" s="10" t="s">
        <v>1025</v>
      </c>
      <c r="C78" s="11">
        <v>0.06</v>
      </c>
      <c r="D78" s="12" t="s">
        <v>1576</v>
      </c>
      <c r="E78" s="13"/>
    </row>
    <row r="79" ht="21" spans="1:5">
      <c r="A79" s="9">
        <v>2728</v>
      </c>
      <c r="B79" s="10" t="s">
        <v>1026</v>
      </c>
      <c r="C79" s="11">
        <v>0.06</v>
      </c>
      <c r="D79" s="12" t="s">
        <v>1576</v>
      </c>
      <c r="E79" s="13"/>
    </row>
    <row r="80" ht="21" spans="1:5">
      <c r="A80" s="9">
        <v>2729</v>
      </c>
      <c r="B80" s="10" t="s">
        <v>1027</v>
      </c>
      <c r="C80" s="11">
        <v>0.06</v>
      </c>
      <c r="D80" s="12" t="s">
        <v>1576</v>
      </c>
      <c r="E80" s="13"/>
    </row>
    <row r="81" ht="21" spans="1:5">
      <c r="A81" s="15">
        <v>3228</v>
      </c>
      <c r="B81" s="16" t="s">
        <v>1028</v>
      </c>
      <c r="C81" s="33">
        <v>0.06</v>
      </c>
      <c r="D81" s="34" t="s">
        <v>1576</v>
      </c>
      <c r="E81" s="35"/>
    </row>
    <row r="82" ht="21" spans="1:5">
      <c r="A82" s="9">
        <v>1134</v>
      </c>
      <c r="B82" s="10" t="s">
        <v>1029</v>
      </c>
      <c r="C82" s="11">
        <v>0.06</v>
      </c>
      <c r="D82" s="12" t="s">
        <v>1576</v>
      </c>
      <c r="E82" s="13" t="s">
        <v>1075</v>
      </c>
    </row>
    <row r="83" ht="21" spans="1:5">
      <c r="A83" s="9">
        <v>1136</v>
      </c>
      <c r="B83" s="10" t="s">
        <v>1030</v>
      </c>
      <c r="C83" s="11">
        <v>0.06</v>
      </c>
      <c r="D83" s="12" t="s">
        <v>1576</v>
      </c>
      <c r="E83" s="13" t="s">
        <v>1075</v>
      </c>
    </row>
    <row r="84" ht="21" spans="1:5">
      <c r="A84" s="9">
        <v>1137</v>
      </c>
      <c r="B84" s="10" t="s">
        <v>1031</v>
      </c>
      <c r="C84" s="11">
        <v>0.06</v>
      </c>
      <c r="D84" s="12" t="s">
        <v>1576</v>
      </c>
      <c r="E84" s="13" t="s">
        <v>1075</v>
      </c>
    </row>
    <row r="85" ht="21" spans="1:5">
      <c r="A85" s="9">
        <v>1139</v>
      </c>
      <c r="B85" s="10" t="s">
        <v>1032</v>
      </c>
      <c r="C85" s="11">
        <v>0.06</v>
      </c>
      <c r="D85" s="12" t="s">
        <v>1576</v>
      </c>
      <c r="E85" s="13" t="s">
        <v>1075</v>
      </c>
    </row>
    <row r="86" ht="21" spans="1:5">
      <c r="A86" s="9">
        <v>1141</v>
      </c>
      <c r="B86" s="10" t="s">
        <v>1033</v>
      </c>
      <c r="C86" s="11">
        <v>0.06</v>
      </c>
      <c r="D86" s="12" t="s">
        <v>1576</v>
      </c>
      <c r="E86" s="13" t="s">
        <v>1075</v>
      </c>
    </row>
    <row r="87" ht="21" spans="1:5">
      <c r="A87" s="9">
        <v>1142</v>
      </c>
      <c r="B87" s="10" t="s">
        <v>1034</v>
      </c>
      <c r="C87" s="11">
        <v>0.06</v>
      </c>
      <c r="D87" s="12" t="s">
        <v>1576</v>
      </c>
      <c r="E87" s="13" t="s">
        <v>1075</v>
      </c>
    </row>
    <row r="88" ht="21" spans="1:5">
      <c r="A88" s="9">
        <v>1144</v>
      </c>
      <c r="B88" s="10" t="s">
        <v>1035</v>
      </c>
      <c r="C88" s="11">
        <v>0.06</v>
      </c>
      <c r="D88" s="12" t="s">
        <v>1576</v>
      </c>
      <c r="E88" s="13" t="s">
        <v>1075</v>
      </c>
    </row>
    <row r="89" ht="21" spans="1:5">
      <c r="A89" s="9">
        <v>1146</v>
      </c>
      <c r="B89" s="10" t="s">
        <v>1036</v>
      </c>
      <c r="C89" s="11">
        <v>0.06</v>
      </c>
      <c r="D89" s="12" t="s">
        <v>1576</v>
      </c>
      <c r="E89" s="13" t="s">
        <v>1075</v>
      </c>
    </row>
    <row r="90" ht="21" spans="1:5">
      <c r="A90" s="9">
        <v>1147</v>
      </c>
      <c r="B90" s="10" t="s">
        <v>1037</v>
      </c>
      <c r="C90" s="11">
        <v>0.06</v>
      </c>
      <c r="D90" s="12" t="s">
        <v>1576</v>
      </c>
      <c r="E90" s="13" t="s">
        <v>1075</v>
      </c>
    </row>
    <row r="91" ht="21" spans="1:5">
      <c r="A91" s="9">
        <v>1149</v>
      </c>
      <c r="B91" s="10" t="s">
        <v>1038</v>
      </c>
      <c r="C91" s="11">
        <v>0.06</v>
      </c>
      <c r="D91" s="12" t="s">
        <v>1576</v>
      </c>
      <c r="E91" s="13" t="s">
        <v>1075</v>
      </c>
    </row>
    <row r="92" ht="21" spans="1:5">
      <c r="A92" s="9">
        <v>1150</v>
      </c>
      <c r="B92" s="10" t="s">
        <v>1039</v>
      </c>
      <c r="C92" s="11">
        <v>0.06</v>
      </c>
      <c r="D92" s="12" t="s">
        <v>1576</v>
      </c>
      <c r="E92" s="13" t="s">
        <v>1075</v>
      </c>
    </row>
    <row r="93" spans="1:5">
      <c r="A93" s="9">
        <v>1111</v>
      </c>
      <c r="B93" s="10" t="s">
        <v>1040</v>
      </c>
      <c r="C93" s="11">
        <v>0.06</v>
      </c>
      <c r="D93" s="12" t="s">
        <v>1611</v>
      </c>
      <c r="E93" s="13" t="s">
        <v>1075</v>
      </c>
    </row>
    <row r="94" spans="1:5">
      <c r="A94" s="9">
        <v>1112</v>
      </c>
      <c r="B94" s="10" t="s">
        <v>1041</v>
      </c>
      <c r="C94" s="11">
        <v>0.06</v>
      </c>
      <c r="D94" s="12" t="s">
        <v>1611</v>
      </c>
      <c r="E94" s="13" t="s">
        <v>1075</v>
      </c>
    </row>
    <row r="95" ht="21" spans="1:5">
      <c r="A95" s="9">
        <v>1114</v>
      </c>
      <c r="B95" s="10" t="s">
        <v>1042</v>
      </c>
      <c r="C95" s="11">
        <v>0.06</v>
      </c>
      <c r="D95" s="12" t="s">
        <v>1576</v>
      </c>
      <c r="E95" s="13" t="s">
        <v>1075</v>
      </c>
    </row>
    <row r="96" ht="21" spans="1:5">
      <c r="A96" s="9">
        <v>1115</v>
      </c>
      <c r="B96" s="10" t="s">
        <v>1043</v>
      </c>
      <c r="C96" s="11">
        <v>0.06</v>
      </c>
      <c r="D96" s="12" t="s">
        <v>1576</v>
      </c>
      <c r="E96" s="13" t="s">
        <v>1075</v>
      </c>
    </row>
    <row r="97" ht="21" spans="1:5">
      <c r="A97" s="9">
        <v>1155</v>
      </c>
      <c r="B97" s="10" t="s">
        <v>1044</v>
      </c>
      <c r="C97" s="11">
        <v>0.06</v>
      </c>
      <c r="D97" s="12" t="s">
        <v>1576</v>
      </c>
      <c r="E97" s="13" t="s">
        <v>1075</v>
      </c>
    </row>
    <row r="98" ht="21" spans="1:5">
      <c r="A98" s="9">
        <v>1156</v>
      </c>
      <c r="B98" s="10" t="s">
        <v>1045</v>
      </c>
      <c r="C98" s="11">
        <v>0.06</v>
      </c>
      <c r="D98" s="12" t="s">
        <v>1576</v>
      </c>
      <c r="E98" s="13" t="s">
        <v>1075</v>
      </c>
    </row>
    <row r="99" ht="21" spans="1:5">
      <c r="A99" s="9">
        <v>1117</v>
      </c>
      <c r="B99" s="10" t="s">
        <v>1046</v>
      </c>
      <c r="C99" s="11">
        <v>0.06</v>
      </c>
      <c r="D99" s="12" t="s">
        <v>1576</v>
      </c>
      <c r="E99" s="13" t="s">
        <v>1075</v>
      </c>
    </row>
    <row r="100" ht="21" spans="1:5">
      <c r="A100" s="9">
        <v>1118</v>
      </c>
      <c r="B100" s="10" t="s">
        <v>1047</v>
      </c>
      <c r="C100" s="11">
        <v>0.06</v>
      </c>
      <c r="D100" s="12" t="s">
        <v>1576</v>
      </c>
      <c r="E100" s="13" t="s">
        <v>1075</v>
      </c>
    </row>
    <row r="101" ht="21" spans="1:5">
      <c r="A101" s="9">
        <v>1162</v>
      </c>
      <c r="B101" s="10" t="s">
        <v>1048</v>
      </c>
      <c r="C101" s="11">
        <v>0.06</v>
      </c>
      <c r="D101" s="12" t="s">
        <v>1576</v>
      </c>
      <c r="E101" s="13" t="s">
        <v>1075</v>
      </c>
    </row>
    <row r="102" ht="21" spans="1:5">
      <c r="A102" s="9">
        <v>1163</v>
      </c>
      <c r="B102" s="10" t="s">
        <v>1049</v>
      </c>
      <c r="C102" s="11">
        <v>0.06</v>
      </c>
      <c r="D102" s="12" t="s">
        <v>1576</v>
      </c>
      <c r="E102" s="13" t="s">
        <v>1075</v>
      </c>
    </row>
    <row r="103" spans="1:5">
      <c r="A103" s="9">
        <v>1152</v>
      </c>
      <c r="B103" s="10" t="s">
        <v>1050</v>
      </c>
      <c r="C103" s="11">
        <v>0.06</v>
      </c>
      <c r="D103" s="12" t="s">
        <v>1612</v>
      </c>
      <c r="E103" s="13" t="s">
        <v>1075</v>
      </c>
    </row>
    <row r="104" spans="1:5">
      <c r="A104" s="9">
        <v>1153</v>
      </c>
      <c r="B104" s="10" t="s">
        <v>1051</v>
      </c>
      <c r="C104" s="11">
        <v>0.06</v>
      </c>
      <c r="D104" s="12" t="s">
        <v>1612</v>
      </c>
      <c r="E104" s="13" t="s">
        <v>1075</v>
      </c>
    </row>
    <row r="105" ht="21" spans="1:5">
      <c r="A105" s="9">
        <v>1127</v>
      </c>
      <c r="B105" s="10" t="s">
        <v>1052</v>
      </c>
      <c r="C105" s="11">
        <v>0.06</v>
      </c>
      <c r="D105" s="12" t="s">
        <v>1576</v>
      </c>
      <c r="E105" s="13" t="s">
        <v>1075</v>
      </c>
    </row>
    <row r="106" ht="21" spans="1:5">
      <c r="A106" s="9">
        <v>1129</v>
      </c>
      <c r="B106" s="10" t="s">
        <v>1053</v>
      </c>
      <c r="C106" s="11">
        <v>0.06</v>
      </c>
      <c r="D106" s="12" t="s">
        <v>1576</v>
      </c>
      <c r="E106" s="13" t="s">
        <v>1075</v>
      </c>
    </row>
    <row r="107" ht="21" spans="1:5">
      <c r="A107" s="9">
        <v>1130</v>
      </c>
      <c r="B107" s="10" t="s">
        <v>1054</v>
      </c>
      <c r="C107" s="11">
        <v>0.06</v>
      </c>
      <c r="D107" s="12" t="s">
        <v>1576</v>
      </c>
      <c r="E107" s="13" t="s">
        <v>1075</v>
      </c>
    </row>
    <row r="108" ht="21" spans="1:5">
      <c r="A108" s="9">
        <v>2868</v>
      </c>
      <c r="B108" s="10" t="s">
        <v>1055</v>
      </c>
      <c r="C108" s="11">
        <v>0.06</v>
      </c>
      <c r="D108" s="12" t="s">
        <v>1576</v>
      </c>
      <c r="E108" s="13"/>
    </row>
    <row r="109" ht="21" spans="1:5">
      <c r="A109" s="20">
        <v>2889</v>
      </c>
      <c r="B109" s="21" t="s">
        <v>1056</v>
      </c>
      <c r="C109" s="22">
        <v>0.06</v>
      </c>
      <c r="D109" s="28" t="s">
        <v>1576</v>
      </c>
      <c r="E109" s="29"/>
    </row>
    <row r="110" ht="21" spans="1:5">
      <c r="A110" s="20">
        <v>2890</v>
      </c>
      <c r="B110" s="21" t="s">
        <v>1057</v>
      </c>
      <c r="C110" s="22">
        <v>0.06</v>
      </c>
      <c r="D110" s="28" t="s">
        <v>1576</v>
      </c>
      <c r="E110" s="29"/>
    </row>
    <row r="111" ht="21" spans="1:6">
      <c r="A111" s="9">
        <v>1204</v>
      </c>
      <c r="B111" s="10" t="s">
        <v>1059</v>
      </c>
      <c r="C111" s="11" t="s">
        <v>1058</v>
      </c>
      <c r="D111" s="12" t="s">
        <v>1613</v>
      </c>
      <c r="E111" s="36" t="s">
        <v>1614</v>
      </c>
      <c r="F111" s="14" t="s">
        <v>1550</v>
      </c>
    </row>
    <row r="112" spans="1:5">
      <c r="A112" s="9">
        <v>1205</v>
      </c>
      <c r="B112" s="10" t="s">
        <v>1060</v>
      </c>
      <c r="C112" s="11">
        <v>0.09</v>
      </c>
      <c r="D112" s="12" t="s">
        <v>1615</v>
      </c>
      <c r="E112" s="13" t="s">
        <v>1075</v>
      </c>
    </row>
    <row r="113" ht="31.5" spans="1:6">
      <c r="A113" s="9">
        <v>1206</v>
      </c>
      <c r="B113" s="10" t="s">
        <v>1062</v>
      </c>
      <c r="C113" s="31" t="s">
        <v>1061</v>
      </c>
      <c r="D113" s="32" t="s">
        <v>1616</v>
      </c>
      <c r="E113" s="30" t="s">
        <v>1610</v>
      </c>
      <c r="F113" s="14" t="s">
        <v>1550</v>
      </c>
    </row>
    <row r="114" spans="1:5">
      <c r="A114" s="9">
        <v>2700</v>
      </c>
      <c r="B114" s="10" t="s">
        <v>1063</v>
      </c>
      <c r="C114" s="11">
        <v>0.06</v>
      </c>
      <c r="D114" s="12" t="s">
        <v>1554</v>
      </c>
      <c r="E114" s="13"/>
    </row>
    <row r="115" ht="31.5" spans="1:6">
      <c r="A115" s="9">
        <v>2701</v>
      </c>
      <c r="B115" s="10" t="s">
        <v>1064</v>
      </c>
      <c r="C115" s="31" t="s">
        <v>1061</v>
      </c>
      <c r="D115" s="32" t="s">
        <v>1616</v>
      </c>
      <c r="E115" s="30" t="s">
        <v>1610</v>
      </c>
      <c r="F115" s="14" t="s">
        <v>1550</v>
      </c>
    </row>
    <row r="116" ht="31.5" spans="1:6">
      <c r="A116" s="9">
        <v>1208</v>
      </c>
      <c r="B116" s="10" t="s">
        <v>1065</v>
      </c>
      <c r="C116" s="31" t="s">
        <v>1061</v>
      </c>
      <c r="D116" s="32" t="s">
        <v>1616</v>
      </c>
      <c r="E116" s="30" t="s">
        <v>1610</v>
      </c>
      <c r="F116" s="14" t="s">
        <v>1550</v>
      </c>
    </row>
    <row r="117" spans="1:5">
      <c r="A117" s="9">
        <v>1210</v>
      </c>
      <c r="B117" s="10" t="s">
        <v>1066</v>
      </c>
      <c r="C117" s="11">
        <v>0.09</v>
      </c>
      <c r="D117" s="12" t="s">
        <v>1536</v>
      </c>
      <c r="E117" s="13" t="s">
        <v>1075</v>
      </c>
    </row>
    <row r="118" spans="1:5">
      <c r="A118" s="9">
        <v>1211</v>
      </c>
      <c r="B118" s="10" t="s">
        <v>1067</v>
      </c>
      <c r="C118" s="11">
        <v>0.06</v>
      </c>
      <c r="D118" s="12" t="s">
        <v>1568</v>
      </c>
      <c r="E118" s="13" t="s">
        <v>1075</v>
      </c>
    </row>
    <row r="119" spans="1:5">
      <c r="A119" s="9">
        <v>1212</v>
      </c>
      <c r="B119" s="10" t="s">
        <v>1068</v>
      </c>
      <c r="C119" s="11">
        <v>0.06</v>
      </c>
      <c r="D119" s="12" t="s">
        <v>1554</v>
      </c>
      <c r="E119" s="13" t="s">
        <v>1075</v>
      </c>
    </row>
    <row r="120" ht="21" spans="1:5">
      <c r="A120" s="9">
        <v>1213</v>
      </c>
      <c r="B120" s="10" t="s">
        <v>1069</v>
      </c>
      <c r="C120" s="11">
        <v>0.06</v>
      </c>
      <c r="D120" s="12" t="s">
        <v>1576</v>
      </c>
      <c r="E120" s="13" t="s">
        <v>1075</v>
      </c>
    </row>
    <row r="121" ht="21" spans="1:5">
      <c r="A121" s="9">
        <v>1183</v>
      </c>
      <c r="B121" s="10" t="s">
        <v>1070</v>
      </c>
      <c r="C121" s="11">
        <v>0.06</v>
      </c>
      <c r="D121" s="12" t="s">
        <v>1576</v>
      </c>
      <c r="E121" s="13" t="s">
        <v>1075</v>
      </c>
    </row>
    <row r="122" ht="21" spans="1:5">
      <c r="A122" s="9">
        <v>1184</v>
      </c>
      <c r="B122" s="10" t="s">
        <v>1071</v>
      </c>
      <c r="C122" s="11">
        <v>0.06</v>
      </c>
      <c r="D122" s="12" t="s">
        <v>1576</v>
      </c>
      <c r="E122" s="13" t="s">
        <v>1075</v>
      </c>
    </row>
    <row r="123" spans="1:5">
      <c r="A123" s="9">
        <v>1188</v>
      </c>
      <c r="B123" s="10" t="s">
        <v>1072</v>
      </c>
      <c r="C123" s="11">
        <v>0.06</v>
      </c>
      <c r="D123" s="12" t="s">
        <v>1617</v>
      </c>
      <c r="E123" s="13" t="s">
        <v>1075</v>
      </c>
    </row>
    <row r="124" ht="21" spans="1:5">
      <c r="A124" s="9">
        <v>1195</v>
      </c>
      <c r="B124" s="10" t="s">
        <v>1073</v>
      </c>
      <c r="C124" s="11">
        <v>0.06</v>
      </c>
      <c r="D124" s="12" t="s">
        <v>1576</v>
      </c>
      <c r="E124" s="13" t="s">
        <v>1075</v>
      </c>
    </row>
    <row r="125" spans="1:5">
      <c r="A125" s="9">
        <v>1197</v>
      </c>
      <c r="B125" s="10" t="s">
        <v>202</v>
      </c>
      <c r="C125" s="11">
        <v>0.06</v>
      </c>
      <c r="D125" s="12" t="s">
        <v>1554</v>
      </c>
      <c r="E125" s="13" t="s">
        <v>1075</v>
      </c>
    </row>
    <row r="126" ht="21" spans="1:5">
      <c r="A126" s="9">
        <v>1420</v>
      </c>
      <c r="B126" s="10" t="s">
        <v>1074</v>
      </c>
      <c r="C126" s="11">
        <v>0.06</v>
      </c>
      <c r="D126" s="12" t="s">
        <v>1576</v>
      </c>
      <c r="E126" s="13" t="s">
        <v>1075</v>
      </c>
    </row>
    <row r="127" ht="31.5" spans="1:6">
      <c r="A127" s="9">
        <v>1214</v>
      </c>
      <c r="B127" s="10" t="s">
        <v>1076</v>
      </c>
      <c r="C127" s="11" t="s">
        <v>1075</v>
      </c>
      <c r="D127" s="12" t="s">
        <v>1075</v>
      </c>
      <c r="E127" s="30" t="s">
        <v>1610</v>
      </c>
      <c r="F127" s="14" t="s">
        <v>1550</v>
      </c>
    </row>
    <row r="128" spans="1:5">
      <c r="A128" s="9">
        <v>1222</v>
      </c>
      <c r="B128" s="10" t="s">
        <v>1077</v>
      </c>
      <c r="C128" s="11">
        <v>0.09</v>
      </c>
      <c r="D128" s="12" t="s">
        <v>1618</v>
      </c>
      <c r="E128" s="13" t="s">
        <v>1075</v>
      </c>
    </row>
    <row r="129" spans="1:5">
      <c r="A129" s="9">
        <v>1227</v>
      </c>
      <c r="B129" s="10" t="s">
        <v>1078</v>
      </c>
      <c r="C129" s="11">
        <v>0.09</v>
      </c>
      <c r="D129" s="12" t="s">
        <v>1536</v>
      </c>
      <c r="E129" s="13" t="s">
        <v>1075</v>
      </c>
    </row>
    <row r="130" spans="1:5">
      <c r="A130" s="9">
        <v>1228</v>
      </c>
      <c r="B130" s="10" t="s">
        <v>1079</v>
      </c>
      <c r="C130" s="11">
        <v>0.09</v>
      </c>
      <c r="D130" s="12" t="s">
        <v>1536</v>
      </c>
      <c r="E130" s="13" t="s">
        <v>1075</v>
      </c>
    </row>
    <row r="131" spans="1:5">
      <c r="A131" s="9">
        <v>1229</v>
      </c>
      <c r="B131" s="10" t="s">
        <v>1080</v>
      </c>
      <c r="C131" s="11">
        <v>0.09</v>
      </c>
      <c r="D131" s="12" t="s">
        <v>1536</v>
      </c>
      <c r="E131" s="13" t="s">
        <v>1075</v>
      </c>
    </row>
    <row r="132" spans="1:5">
      <c r="A132" s="15">
        <v>3165</v>
      </c>
      <c r="B132" s="16" t="s">
        <v>1081</v>
      </c>
      <c r="C132" s="17">
        <v>0.09</v>
      </c>
      <c r="D132" s="18" t="s">
        <v>1536</v>
      </c>
      <c r="E132" s="19"/>
    </row>
    <row r="133" spans="1:5">
      <c r="A133" s="9">
        <v>1234</v>
      </c>
      <c r="B133" s="10" t="s">
        <v>1082</v>
      </c>
      <c r="C133" s="11">
        <v>0.09</v>
      </c>
      <c r="D133" s="12" t="s">
        <v>1536</v>
      </c>
      <c r="E133" s="13" t="s">
        <v>1075</v>
      </c>
    </row>
    <row r="134" spans="1:5">
      <c r="A134" s="9">
        <v>1237</v>
      </c>
      <c r="B134" s="10" t="s">
        <v>1083</v>
      </c>
      <c r="C134" s="11">
        <v>0.09</v>
      </c>
      <c r="D134" s="12" t="s">
        <v>1536</v>
      </c>
      <c r="E134" s="13" t="s">
        <v>1075</v>
      </c>
    </row>
    <row r="135" spans="1:5">
      <c r="A135" s="9">
        <v>1238</v>
      </c>
      <c r="B135" s="10" t="s">
        <v>1084</v>
      </c>
      <c r="C135" s="11">
        <v>0.09</v>
      </c>
      <c r="D135" s="12" t="s">
        <v>1536</v>
      </c>
      <c r="E135" s="13" t="s">
        <v>1075</v>
      </c>
    </row>
    <row r="136" spans="1:5">
      <c r="A136" s="9">
        <v>1239</v>
      </c>
      <c r="B136" s="10" t="s">
        <v>1085</v>
      </c>
      <c r="C136" s="11">
        <v>0.09</v>
      </c>
      <c r="D136" s="12" t="s">
        <v>1536</v>
      </c>
      <c r="E136" s="13" t="s">
        <v>1075</v>
      </c>
    </row>
    <row r="137" spans="1:5">
      <c r="A137" s="9">
        <v>1243</v>
      </c>
      <c r="B137" s="10" t="s">
        <v>1086</v>
      </c>
      <c r="C137" s="11">
        <v>0.09</v>
      </c>
      <c r="D137" s="12" t="s">
        <v>1536</v>
      </c>
      <c r="E137" s="13" t="s">
        <v>1075</v>
      </c>
    </row>
    <row r="138" spans="1:5">
      <c r="A138" s="9">
        <v>1244</v>
      </c>
      <c r="B138" s="10" t="s">
        <v>1087</v>
      </c>
      <c r="C138" s="11">
        <v>0.09</v>
      </c>
      <c r="D138" s="12" t="s">
        <v>1536</v>
      </c>
      <c r="E138" s="13" t="s">
        <v>1075</v>
      </c>
    </row>
    <row r="139" spans="1:5">
      <c r="A139" s="9">
        <v>1971</v>
      </c>
      <c r="B139" s="10" t="s">
        <v>1088</v>
      </c>
      <c r="C139" s="11">
        <v>0.09</v>
      </c>
      <c r="D139" s="12" t="s">
        <v>1536</v>
      </c>
      <c r="E139" s="13"/>
    </row>
    <row r="140" spans="1:5">
      <c r="A140" s="9">
        <v>1246</v>
      </c>
      <c r="B140" s="10" t="s">
        <v>1089</v>
      </c>
      <c r="C140" s="11">
        <v>0.09</v>
      </c>
      <c r="D140" s="12" t="s">
        <v>1536</v>
      </c>
      <c r="E140" s="13" t="s">
        <v>1075</v>
      </c>
    </row>
    <row r="141" spans="1:5">
      <c r="A141" s="9">
        <v>1247</v>
      </c>
      <c r="B141" s="10" t="s">
        <v>1090</v>
      </c>
      <c r="C141" s="11">
        <v>0.09</v>
      </c>
      <c r="D141" s="12" t="s">
        <v>1536</v>
      </c>
      <c r="E141" s="13" t="s">
        <v>1075</v>
      </c>
    </row>
    <row r="142" spans="1:5">
      <c r="A142" s="9">
        <v>1972</v>
      </c>
      <c r="B142" s="10" t="s">
        <v>1091</v>
      </c>
      <c r="C142" s="11">
        <v>0.09</v>
      </c>
      <c r="D142" s="12" t="s">
        <v>1536</v>
      </c>
      <c r="E142" s="13"/>
    </row>
    <row r="143" spans="1:6">
      <c r="A143" s="20">
        <v>1248</v>
      </c>
      <c r="B143" s="21" t="s">
        <v>1092</v>
      </c>
      <c r="C143" s="22">
        <v>0</v>
      </c>
      <c r="D143" s="23" t="s">
        <v>1549</v>
      </c>
      <c r="E143" s="23" t="s">
        <v>1549</v>
      </c>
      <c r="F143" s="14" t="s">
        <v>1550</v>
      </c>
    </row>
    <row r="144" spans="1:5">
      <c r="A144" s="9">
        <v>2963</v>
      </c>
      <c r="B144" s="10" t="s">
        <v>1093</v>
      </c>
      <c r="C144" s="11">
        <v>0.09</v>
      </c>
      <c r="D144" s="12" t="s">
        <v>1536</v>
      </c>
      <c r="E144" s="13"/>
    </row>
    <row r="145" ht="21" spans="1:5">
      <c r="A145" s="9">
        <v>1251</v>
      </c>
      <c r="B145" s="10" t="s">
        <v>1094</v>
      </c>
      <c r="C145" s="11">
        <v>0.06</v>
      </c>
      <c r="D145" s="12" t="s">
        <v>1576</v>
      </c>
      <c r="E145" s="13" t="s">
        <v>1075</v>
      </c>
    </row>
    <row r="146" spans="1:5">
      <c r="A146" s="9">
        <v>1252</v>
      </c>
      <c r="B146" s="10" t="s">
        <v>1095</v>
      </c>
      <c r="C146" s="11">
        <v>0.06</v>
      </c>
      <c r="D146" s="12" t="s">
        <v>1568</v>
      </c>
      <c r="E146" s="13" t="s">
        <v>1075</v>
      </c>
    </row>
    <row r="147" ht="21" spans="1:5">
      <c r="A147" s="9">
        <v>2734</v>
      </c>
      <c r="B147" s="10" t="s">
        <v>1096</v>
      </c>
      <c r="C147" s="11">
        <v>0.06</v>
      </c>
      <c r="D147" s="12" t="s">
        <v>1576</v>
      </c>
      <c r="E147" s="13"/>
    </row>
    <row r="148" ht="21" spans="1:5">
      <c r="A148" s="9">
        <v>2735</v>
      </c>
      <c r="B148" s="10" t="s">
        <v>181</v>
      </c>
      <c r="C148" s="11">
        <v>0.06</v>
      </c>
      <c r="D148" s="12" t="s">
        <v>1576</v>
      </c>
      <c r="E148" s="13"/>
    </row>
    <row r="149" ht="21" spans="1:5">
      <c r="A149" s="9">
        <v>1289</v>
      </c>
      <c r="B149" s="10" t="s">
        <v>197</v>
      </c>
      <c r="C149" s="11">
        <v>0.06</v>
      </c>
      <c r="D149" s="12" t="s">
        <v>1576</v>
      </c>
      <c r="E149" s="13" t="s">
        <v>1075</v>
      </c>
    </row>
    <row r="150" ht="21" spans="1:5">
      <c r="A150" s="9">
        <v>1290</v>
      </c>
      <c r="B150" s="10" t="s">
        <v>1097</v>
      </c>
      <c r="C150" s="11">
        <v>0.06</v>
      </c>
      <c r="D150" s="12" t="s">
        <v>1576</v>
      </c>
      <c r="E150" s="13" t="s">
        <v>1075</v>
      </c>
    </row>
    <row r="151" spans="1:5">
      <c r="A151" s="9">
        <v>1306</v>
      </c>
      <c r="B151" s="10" t="s">
        <v>1098</v>
      </c>
      <c r="C151" s="11">
        <v>0.09</v>
      </c>
      <c r="D151" s="12" t="s">
        <v>1618</v>
      </c>
      <c r="E151" s="13" t="s">
        <v>1075</v>
      </c>
    </row>
    <row r="152" spans="1:5">
      <c r="A152" s="9">
        <v>1307</v>
      </c>
      <c r="B152" s="10" t="s">
        <v>1099</v>
      </c>
      <c r="C152" s="11">
        <v>0.06</v>
      </c>
      <c r="D152" s="12" t="s">
        <v>1612</v>
      </c>
      <c r="E152" s="13" t="s">
        <v>1075</v>
      </c>
    </row>
    <row r="153" spans="1:5">
      <c r="A153" s="9">
        <v>1309</v>
      </c>
      <c r="B153" s="10" t="s">
        <v>1100</v>
      </c>
      <c r="C153" s="11">
        <v>0.06</v>
      </c>
      <c r="D153" s="12" t="s">
        <v>1554</v>
      </c>
      <c r="E153" s="13" t="s">
        <v>1075</v>
      </c>
    </row>
    <row r="154" spans="1:5">
      <c r="A154" s="9">
        <v>1310</v>
      </c>
      <c r="B154" s="10" t="s">
        <v>1101</v>
      </c>
      <c r="C154" s="11">
        <v>0.06</v>
      </c>
      <c r="D154" s="12" t="s">
        <v>1554</v>
      </c>
      <c r="E154" s="13" t="s">
        <v>1075</v>
      </c>
    </row>
    <row r="155" spans="1:5">
      <c r="A155" s="9">
        <v>1311</v>
      </c>
      <c r="B155" s="10" t="s">
        <v>1102</v>
      </c>
      <c r="C155" s="11">
        <v>0.06</v>
      </c>
      <c r="D155" s="12" t="s">
        <v>1554</v>
      </c>
      <c r="E155" s="13" t="s">
        <v>1075</v>
      </c>
    </row>
    <row r="156" spans="1:5">
      <c r="A156" s="9">
        <v>1312</v>
      </c>
      <c r="B156" s="10" t="s">
        <v>154</v>
      </c>
      <c r="C156" s="11">
        <v>0.06</v>
      </c>
      <c r="D156" s="12" t="s">
        <v>1554</v>
      </c>
      <c r="E156" s="13" t="s">
        <v>1075</v>
      </c>
    </row>
    <row r="157" spans="1:5">
      <c r="A157" s="9">
        <v>2699</v>
      </c>
      <c r="B157" s="10" t="s">
        <v>1103</v>
      </c>
      <c r="C157" s="11">
        <v>0.06</v>
      </c>
      <c r="D157" s="12" t="s">
        <v>1554</v>
      </c>
      <c r="E157" s="13"/>
    </row>
    <row r="158" spans="1:5">
      <c r="A158" s="9">
        <v>1313</v>
      </c>
      <c r="B158" s="10" t="s">
        <v>1104</v>
      </c>
      <c r="C158" s="11">
        <v>0.06</v>
      </c>
      <c r="D158" s="12" t="s">
        <v>1554</v>
      </c>
      <c r="E158" s="13" t="s">
        <v>1075</v>
      </c>
    </row>
    <row r="159" spans="1:5">
      <c r="A159" s="9">
        <v>1315</v>
      </c>
      <c r="B159" s="10" t="s">
        <v>1105</v>
      </c>
      <c r="C159" s="11">
        <v>0.06</v>
      </c>
      <c r="D159" s="12" t="s">
        <v>1554</v>
      </c>
      <c r="E159" s="13" t="s">
        <v>1075</v>
      </c>
    </row>
    <row r="160" spans="1:5">
      <c r="A160" s="9">
        <v>1316</v>
      </c>
      <c r="B160" s="10" t="s">
        <v>1106</v>
      </c>
      <c r="C160" s="11">
        <v>0.06</v>
      </c>
      <c r="D160" s="12" t="s">
        <v>1554</v>
      </c>
      <c r="E160" s="13" t="s">
        <v>1075</v>
      </c>
    </row>
    <row r="161" spans="1:5">
      <c r="A161" s="9">
        <v>1784</v>
      </c>
      <c r="B161" s="10" t="s">
        <v>1107</v>
      </c>
      <c r="C161" s="11">
        <v>0.06</v>
      </c>
      <c r="D161" s="12" t="s">
        <v>1554</v>
      </c>
      <c r="E161" s="13"/>
    </row>
    <row r="162" spans="1:5">
      <c r="A162" s="9">
        <v>1785</v>
      </c>
      <c r="B162" s="10" t="s">
        <v>1108</v>
      </c>
      <c r="C162" s="11">
        <v>0.06</v>
      </c>
      <c r="D162" s="12" t="s">
        <v>1554</v>
      </c>
      <c r="E162" s="13"/>
    </row>
    <row r="163" spans="1:5">
      <c r="A163" s="9">
        <v>1320</v>
      </c>
      <c r="B163" s="10" t="s">
        <v>247</v>
      </c>
      <c r="C163" s="11">
        <v>0.06</v>
      </c>
      <c r="D163" s="12" t="s">
        <v>1554</v>
      </c>
      <c r="E163" s="13" t="s">
        <v>1075</v>
      </c>
    </row>
    <row r="164" spans="1:5">
      <c r="A164" s="9">
        <v>1321</v>
      </c>
      <c r="B164" s="10" t="s">
        <v>1109</v>
      </c>
      <c r="C164" s="11">
        <v>0.06</v>
      </c>
      <c r="D164" s="12" t="s">
        <v>1554</v>
      </c>
      <c r="E164" s="13" t="s">
        <v>1075</v>
      </c>
    </row>
    <row r="165" spans="1:5">
      <c r="A165" s="9">
        <v>1322</v>
      </c>
      <c r="B165" s="10" t="s">
        <v>1110</v>
      </c>
      <c r="C165" s="11">
        <v>0.06</v>
      </c>
      <c r="D165" s="12" t="s">
        <v>1554</v>
      </c>
      <c r="E165" s="13" t="s">
        <v>1075</v>
      </c>
    </row>
    <row r="166" spans="1:5">
      <c r="A166" s="9">
        <v>1323</v>
      </c>
      <c r="B166" s="10" t="s">
        <v>1111</v>
      </c>
      <c r="C166" s="11">
        <v>0.06</v>
      </c>
      <c r="D166" s="12" t="s">
        <v>1554</v>
      </c>
      <c r="E166" s="13" t="s">
        <v>1075</v>
      </c>
    </row>
    <row r="167" spans="1:5">
      <c r="A167" s="9">
        <v>1324</v>
      </c>
      <c r="B167" s="10" t="s">
        <v>1112</v>
      </c>
      <c r="C167" s="11">
        <v>0.06</v>
      </c>
      <c r="D167" s="12" t="s">
        <v>1554</v>
      </c>
      <c r="E167" s="13" t="s">
        <v>1075</v>
      </c>
    </row>
    <row r="168" spans="1:5">
      <c r="A168" s="9">
        <v>1330</v>
      </c>
      <c r="B168" s="10" t="s">
        <v>260</v>
      </c>
      <c r="C168" s="11">
        <v>0.06</v>
      </c>
      <c r="D168" s="12" t="s">
        <v>1554</v>
      </c>
      <c r="E168" s="13" t="s">
        <v>1075</v>
      </c>
    </row>
    <row r="169" spans="1:5">
      <c r="A169" s="9">
        <v>1331</v>
      </c>
      <c r="B169" s="10" t="s">
        <v>254</v>
      </c>
      <c r="C169" s="11">
        <v>0.06</v>
      </c>
      <c r="D169" s="12" t="s">
        <v>1554</v>
      </c>
      <c r="E169" s="13" t="s">
        <v>1075</v>
      </c>
    </row>
    <row r="170" ht="21" spans="1:5">
      <c r="A170" s="9">
        <v>1326</v>
      </c>
      <c r="B170" s="10" t="s">
        <v>1113</v>
      </c>
      <c r="C170" s="11">
        <v>0.06</v>
      </c>
      <c r="D170" s="12" t="s">
        <v>1576</v>
      </c>
      <c r="E170" s="13" t="s">
        <v>1075</v>
      </c>
    </row>
    <row r="171" ht="21" spans="1:5">
      <c r="A171" s="9">
        <v>1327</v>
      </c>
      <c r="B171" s="10" t="s">
        <v>1114</v>
      </c>
      <c r="C171" s="11">
        <v>0.06</v>
      </c>
      <c r="D171" s="12" t="s">
        <v>1576</v>
      </c>
      <c r="E171" s="13" t="s">
        <v>1075</v>
      </c>
    </row>
    <row r="172" ht="21" spans="1:5">
      <c r="A172" s="9">
        <v>1328</v>
      </c>
      <c r="B172" s="10" t="s">
        <v>1115</v>
      </c>
      <c r="C172" s="11">
        <v>0.06</v>
      </c>
      <c r="D172" s="12" t="s">
        <v>1576</v>
      </c>
      <c r="E172" s="13" t="s">
        <v>1075</v>
      </c>
    </row>
    <row r="173" spans="1:5">
      <c r="A173" s="9">
        <v>3042</v>
      </c>
      <c r="B173" s="10" t="s">
        <v>1116</v>
      </c>
      <c r="C173" s="11">
        <v>0.06</v>
      </c>
      <c r="D173" s="12" t="s">
        <v>1612</v>
      </c>
      <c r="E173" s="13"/>
    </row>
    <row r="174" spans="1:5">
      <c r="A174" s="9">
        <v>3043</v>
      </c>
      <c r="B174" s="10" t="s">
        <v>1117</v>
      </c>
      <c r="C174" s="11">
        <v>0.06</v>
      </c>
      <c r="D174" s="12" t="s">
        <v>1612</v>
      </c>
      <c r="E174" s="13"/>
    </row>
    <row r="175" ht="21" spans="1:5">
      <c r="A175" s="9">
        <v>1329</v>
      </c>
      <c r="B175" s="10" t="s">
        <v>1118</v>
      </c>
      <c r="C175" s="11">
        <v>0.06</v>
      </c>
      <c r="D175" s="12" t="s">
        <v>1576</v>
      </c>
      <c r="E175" s="13" t="s">
        <v>1075</v>
      </c>
    </row>
    <row r="176" spans="1:6">
      <c r="A176" s="9">
        <v>1400</v>
      </c>
      <c r="B176" s="10" t="s">
        <v>1119</v>
      </c>
      <c r="C176" s="11">
        <v>0</v>
      </c>
      <c r="D176" s="12" t="s">
        <v>1549</v>
      </c>
      <c r="E176" s="36" t="s">
        <v>1549</v>
      </c>
      <c r="F176" s="14" t="s">
        <v>1550</v>
      </c>
    </row>
    <row r="177" spans="1:6">
      <c r="A177" s="9">
        <v>1401</v>
      </c>
      <c r="B177" s="10" t="s">
        <v>1120</v>
      </c>
      <c r="C177" s="11">
        <v>0</v>
      </c>
      <c r="D177" s="12" t="s">
        <v>1549</v>
      </c>
      <c r="E177" s="36" t="s">
        <v>1549</v>
      </c>
      <c r="F177" s="14" t="s">
        <v>1550</v>
      </c>
    </row>
    <row r="178" spans="1:5">
      <c r="A178" s="9">
        <v>2557</v>
      </c>
      <c r="B178" s="10" t="s">
        <v>1121</v>
      </c>
      <c r="C178" s="11">
        <v>0.06</v>
      </c>
      <c r="D178" s="12" t="s">
        <v>1554</v>
      </c>
      <c r="E178" s="13"/>
    </row>
    <row r="179" spans="1:5">
      <c r="A179" s="9">
        <v>1301</v>
      </c>
      <c r="B179" s="10" t="s">
        <v>233</v>
      </c>
      <c r="C179" s="11">
        <v>0.06</v>
      </c>
      <c r="D179" s="12" t="s">
        <v>1554</v>
      </c>
      <c r="E179" s="13" t="s">
        <v>1075</v>
      </c>
    </row>
    <row r="180" spans="1:5">
      <c r="A180" s="9">
        <v>1302</v>
      </c>
      <c r="B180" s="10" t="s">
        <v>1122</v>
      </c>
      <c r="C180" s="11">
        <v>0.09</v>
      </c>
      <c r="D180" s="12" t="s">
        <v>1615</v>
      </c>
      <c r="E180" s="13" t="s">
        <v>1075</v>
      </c>
    </row>
    <row r="181" spans="1:5">
      <c r="A181" s="9">
        <v>1395</v>
      </c>
      <c r="B181" s="10" t="s">
        <v>1123</v>
      </c>
      <c r="C181" s="11">
        <v>0.06</v>
      </c>
      <c r="D181" s="12" t="s">
        <v>1612</v>
      </c>
      <c r="E181" s="13" t="s">
        <v>1075</v>
      </c>
    </row>
    <row r="182" spans="1:5">
      <c r="A182" s="15">
        <v>3229</v>
      </c>
      <c r="B182" s="16" t="s">
        <v>1124</v>
      </c>
      <c r="C182" s="37">
        <v>0.06</v>
      </c>
      <c r="D182" s="34" t="s">
        <v>1612</v>
      </c>
      <c r="E182" s="38"/>
    </row>
    <row r="183" spans="1:5">
      <c r="A183" s="15">
        <v>3230</v>
      </c>
      <c r="B183" s="16" t="s">
        <v>1125</v>
      </c>
      <c r="C183" s="37">
        <v>0.06</v>
      </c>
      <c r="D183" s="34" t="s">
        <v>1612</v>
      </c>
      <c r="E183" s="38"/>
    </row>
    <row r="184" spans="1:5">
      <c r="A184" s="9">
        <v>2737</v>
      </c>
      <c r="B184" s="10" t="s">
        <v>1126</v>
      </c>
      <c r="C184" s="11">
        <v>0.06</v>
      </c>
      <c r="D184" s="12" t="s">
        <v>1612</v>
      </c>
      <c r="E184" s="13"/>
    </row>
    <row r="185" ht="31.5" spans="1:6">
      <c r="A185" s="15">
        <v>3167</v>
      </c>
      <c r="B185" s="16" t="s">
        <v>1127</v>
      </c>
      <c r="C185" s="39"/>
      <c r="D185" s="40" t="s">
        <v>1619</v>
      </c>
      <c r="E185" s="41" t="s">
        <v>1620</v>
      </c>
      <c r="F185" s="14" t="s">
        <v>1550</v>
      </c>
    </row>
    <row r="186" ht="21" spans="1:5">
      <c r="A186" s="15">
        <v>3168</v>
      </c>
      <c r="B186" s="16" t="s">
        <v>1128</v>
      </c>
      <c r="C186" s="17">
        <v>0.06</v>
      </c>
      <c r="D186" s="18" t="s">
        <v>1576</v>
      </c>
      <c r="E186" s="42"/>
    </row>
    <row r="187" ht="31.5" spans="1:6">
      <c r="A187" s="15">
        <v>3169</v>
      </c>
      <c r="B187" s="16" t="s">
        <v>1130</v>
      </c>
      <c r="C187" s="17" t="s">
        <v>1129</v>
      </c>
      <c r="D187" s="18" t="s">
        <v>1621</v>
      </c>
      <c r="E187" s="30" t="s">
        <v>1610</v>
      </c>
      <c r="F187" s="14" t="s">
        <v>1550</v>
      </c>
    </row>
    <row r="188" ht="21" spans="1:5">
      <c r="A188" s="9">
        <v>1419</v>
      </c>
      <c r="B188" s="10" t="s">
        <v>1131</v>
      </c>
      <c r="C188" s="11">
        <v>0.06</v>
      </c>
      <c r="D188" s="12" t="s">
        <v>1576</v>
      </c>
      <c r="E188" s="13" t="s">
        <v>1075</v>
      </c>
    </row>
    <row r="189" ht="21" spans="1:5">
      <c r="A189" s="9">
        <v>1283</v>
      </c>
      <c r="B189" s="10" t="s">
        <v>1132</v>
      </c>
      <c r="C189" s="11">
        <v>0.06</v>
      </c>
      <c r="D189" s="12" t="s">
        <v>1576</v>
      </c>
      <c r="E189" s="13" t="s">
        <v>1075</v>
      </c>
    </row>
    <row r="190" ht="21" spans="1:5">
      <c r="A190" s="9">
        <v>1284</v>
      </c>
      <c r="B190" s="10" t="s">
        <v>1133</v>
      </c>
      <c r="C190" s="11">
        <v>0.06</v>
      </c>
      <c r="D190" s="12" t="s">
        <v>1576</v>
      </c>
      <c r="E190" s="13" t="s">
        <v>1075</v>
      </c>
    </row>
    <row r="191" ht="21" spans="1:5">
      <c r="A191" s="9">
        <v>2739</v>
      </c>
      <c r="B191" s="10" t="s">
        <v>1134</v>
      </c>
      <c r="C191" s="11">
        <v>0.06</v>
      </c>
      <c r="D191" s="12" t="s">
        <v>1576</v>
      </c>
      <c r="E191" s="13"/>
    </row>
    <row r="192" ht="21" spans="1:5">
      <c r="A192" s="9">
        <v>1383</v>
      </c>
      <c r="B192" s="10" t="s">
        <v>1135</v>
      </c>
      <c r="C192" s="11">
        <v>0.06</v>
      </c>
      <c r="D192" s="12" t="s">
        <v>1576</v>
      </c>
      <c r="E192" s="13" t="s">
        <v>1075</v>
      </c>
    </row>
    <row r="193" ht="21" spans="1:5">
      <c r="A193" s="9">
        <v>1384</v>
      </c>
      <c r="B193" s="10" t="s">
        <v>1136</v>
      </c>
      <c r="C193" s="11">
        <v>0.06</v>
      </c>
      <c r="D193" s="12" t="s">
        <v>1576</v>
      </c>
      <c r="E193" s="13" t="s">
        <v>1075</v>
      </c>
    </row>
    <row r="194" ht="21" spans="1:5">
      <c r="A194" s="9">
        <v>2741</v>
      </c>
      <c r="B194" s="10" t="s">
        <v>1137</v>
      </c>
      <c r="C194" s="11">
        <v>0.06</v>
      </c>
      <c r="D194" s="12" t="s">
        <v>1576</v>
      </c>
      <c r="E194" s="13"/>
    </row>
    <row r="195" ht="31.5" spans="1:6">
      <c r="A195" s="9">
        <v>1360</v>
      </c>
      <c r="B195" s="10" t="s">
        <v>1138</v>
      </c>
      <c r="C195" s="11"/>
      <c r="D195" s="12" t="s">
        <v>1619</v>
      </c>
      <c r="E195" s="36" t="s">
        <v>1620</v>
      </c>
      <c r="F195" s="14" t="s">
        <v>1550</v>
      </c>
    </row>
    <row r="196" ht="21" spans="1:5">
      <c r="A196" s="9">
        <v>1362</v>
      </c>
      <c r="B196" s="10" t="s">
        <v>1139</v>
      </c>
      <c r="C196" s="11">
        <v>0.06</v>
      </c>
      <c r="D196" s="12" t="s">
        <v>1576</v>
      </c>
      <c r="E196" s="13" t="s">
        <v>1075</v>
      </c>
    </row>
    <row r="197" ht="21" spans="1:5">
      <c r="A197" s="9">
        <v>1363</v>
      </c>
      <c r="B197" s="10" t="s">
        <v>1140</v>
      </c>
      <c r="C197" s="11">
        <v>0.06</v>
      </c>
      <c r="D197" s="12" t="s">
        <v>1576</v>
      </c>
      <c r="E197" s="13" t="s">
        <v>1075</v>
      </c>
    </row>
    <row r="198" ht="31.5" spans="1:6">
      <c r="A198" s="9">
        <v>2323</v>
      </c>
      <c r="B198" s="10" t="s">
        <v>1141</v>
      </c>
      <c r="C198" s="11"/>
      <c r="D198" s="12" t="s">
        <v>1619</v>
      </c>
      <c r="E198" s="36" t="s">
        <v>1620</v>
      </c>
      <c r="F198" s="14" t="s">
        <v>1550</v>
      </c>
    </row>
    <row r="199" ht="21" spans="1:5">
      <c r="A199" s="9">
        <v>2325</v>
      </c>
      <c r="B199" s="10" t="s">
        <v>1142</v>
      </c>
      <c r="C199" s="11">
        <v>0.06</v>
      </c>
      <c r="D199" s="12" t="s">
        <v>1576</v>
      </c>
      <c r="E199" s="13"/>
    </row>
    <row r="200" ht="21" spans="1:5">
      <c r="A200" s="9">
        <v>2326</v>
      </c>
      <c r="B200" s="10" t="s">
        <v>1143</v>
      </c>
      <c r="C200" s="11">
        <v>0.06</v>
      </c>
      <c r="D200" s="12" t="s">
        <v>1576</v>
      </c>
      <c r="E200" s="13"/>
    </row>
    <row r="201" ht="31.5" spans="1:6">
      <c r="A201" s="9">
        <v>1367</v>
      </c>
      <c r="B201" s="10" t="s">
        <v>1144</v>
      </c>
      <c r="C201" s="11"/>
      <c r="D201" s="12" t="s">
        <v>1619</v>
      </c>
      <c r="E201" s="36" t="s">
        <v>1620</v>
      </c>
      <c r="F201" s="14" t="s">
        <v>1550</v>
      </c>
    </row>
    <row r="202" ht="21" spans="1:5">
      <c r="A202" s="9">
        <v>1369</v>
      </c>
      <c r="B202" s="10" t="s">
        <v>1145</v>
      </c>
      <c r="C202" s="11">
        <v>0.06</v>
      </c>
      <c r="D202" s="12" t="s">
        <v>1576</v>
      </c>
      <c r="E202" s="13" t="s">
        <v>1075</v>
      </c>
    </row>
    <row r="203" ht="21" spans="1:5">
      <c r="A203" s="9">
        <v>1370</v>
      </c>
      <c r="B203" s="10" t="s">
        <v>1146</v>
      </c>
      <c r="C203" s="11">
        <v>0.06</v>
      </c>
      <c r="D203" s="12" t="s">
        <v>1576</v>
      </c>
      <c r="E203" s="13" t="s">
        <v>1075</v>
      </c>
    </row>
    <row r="204" ht="21" spans="1:5">
      <c r="A204" s="9">
        <v>1277</v>
      </c>
      <c r="B204" s="10" t="s">
        <v>1147</v>
      </c>
      <c r="C204" s="11">
        <v>0.06</v>
      </c>
      <c r="D204" s="12" t="s">
        <v>1576</v>
      </c>
      <c r="E204" s="13" t="s">
        <v>1075</v>
      </c>
    </row>
    <row r="205" ht="21" spans="1:5">
      <c r="A205" s="9">
        <v>1260</v>
      </c>
      <c r="B205" s="10" t="s">
        <v>1148</v>
      </c>
      <c r="C205" s="11">
        <v>0.06</v>
      </c>
      <c r="D205" s="12" t="s">
        <v>1576</v>
      </c>
      <c r="E205" s="13" t="s">
        <v>1075</v>
      </c>
    </row>
    <row r="206" ht="21" spans="1:5">
      <c r="A206" s="9">
        <v>1262</v>
      </c>
      <c r="B206" s="10" t="s">
        <v>1149</v>
      </c>
      <c r="C206" s="11">
        <v>0.06</v>
      </c>
      <c r="D206" s="12" t="s">
        <v>1576</v>
      </c>
      <c r="E206" s="13" t="s">
        <v>1075</v>
      </c>
    </row>
    <row r="207" ht="21" spans="1:5">
      <c r="A207" s="9">
        <v>1263</v>
      </c>
      <c r="B207" s="10" t="s">
        <v>1150</v>
      </c>
      <c r="C207" s="11">
        <v>0.06</v>
      </c>
      <c r="D207" s="12" t="s">
        <v>1576</v>
      </c>
      <c r="E207" s="13" t="s">
        <v>1075</v>
      </c>
    </row>
    <row r="208" ht="21" spans="1:5">
      <c r="A208" s="9">
        <v>1265</v>
      </c>
      <c r="B208" s="10" t="s">
        <v>1151</v>
      </c>
      <c r="C208" s="11">
        <v>0.06</v>
      </c>
      <c r="D208" s="12" t="s">
        <v>1576</v>
      </c>
      <c r="E208" s="13" t="s">
        <v>1075</v>
      </c>
    </row>
    <row r="209" ht="21" spans="1:5">
      <c r="A209" s="9">
        <v>1267</v>
      </c>
      <c r="B209" s="10" t="s">
        <v>1152</v>
      </c>
      <c r="C209" s="11">
        <v>0.06</v>
      </c>
      <c r="D209" s="12" t="s">
        <v>1576</v>
      </c>
      <c r="E209" s="13" t="s">
        <v>1075</v>
      </c>
    </row>
    <row r="210" ht="21" spans="1:5">
      <c r="A210" s="9">
        <v>1268</v>
      </c>
      <c r="B210" s="10" t="s">
        <v>1153</v>
      </c>
      <c r="C210" s="11">
        <v>0.06</v>
      </c>
      <c r="D210" s="12" t="s">
        <v>1576</v>
      </c>
      <c r="E210" s="13" t="s">
        <v>1075</v>
      </c>
    </row>
    <row r="211" ht="21" spans="1:5">
      <c r="A211" s="9">
        <v>1270</v>
      </c>
      <c r="B211" s="10" t="s">
        <v>1154</v>
      </c>
      <c r="C211" s="11">
        <v>0.06</v>
      </c>
      <c r="D211" s="12" t="s">
        <v>1576</v>
      </c>
      <c r="E211" s="13" t="s">
        <v>1075</v>
      </c>
    </row>
    <row r="212" ht="21" spans="1:5">
      <c r="A212" s="9">
        <v>1272</v>
      </c>
      <c r="B212" s="10" t="s">
        <v>1155</v>
      </c>
      <c r="C212" s="11">
        <v>0.06</v>
      </c>
      <c r="D212" s="12" t="s">
        <v>1576</v>
      </c>
      <c r="E212" s="13" t="s">
        <v>1075</v>
      </c>
    </row>
    <row r="213" ht="21" spans="1:5">
      <c r="A213" s="9">
        <v>1273</v>
      </c>
      <c r="B213" s="10" t="s">
        <v>1156</v>
      </c>
      <c r="C213" s="11">
        <v>0.06</v>
      </c>
      <c r="D213" s="12" t="s">
        <v>1576</v>
      </c>
      <c r="E213" s="13" t="s">
        <v>1075</v>
      </c>
    </row>
    <row r="214" ht="21" spans="1:5">
      <c r="A214" s="9">
        <v>1275</v>
      </c>
      <c r="B214" s="10" t="s">
        <v>1157</v>
      </c>
      <c r="C214" s="11">
        <v>0.06</v>
      </c>
      <c r="D214" s="12" t="s">
        <v>1576</v>
      </c>
      <c r="E214" s="13" t="s">
        <v>1075</v>
      </c>
    </row>
    <row r="215" ht="21" spans="1:5">
      <c r="A215" s="9">
        <v>1276</v>
      </c>
      <c r="B215" s="10" t="s">
        <v>1158</v>
      </c>
      <c r="C215" s="11">
        <v>0.06</v>
      </c>
      <c r="D215" s="12" t="s">
        <v>1576</v>
      </c>
      <c r="E215" s="13" t="s">
        <v>1075</v>
      </c>
    </row>
    <row r="216" ht="31.5" spans="1:6">
      <c r="A216" s="9">
        <v>1336</v>
      </c>
      <c r="B216" s="10" t="s">
        <v>1159</v>
      </c>
      <c r="C216" s="11"/>
      <c r="D216" s="12" t="s">
        <v>1619</v>
      </c>
      <c r="E216" s="36" t="s">
        <v>1620</v>
      </c>
      <c r="F216" s="14" t="s">
        <v>1550</v>
      </c>
    </row>
    <row r="217" spans="1:5">
      <c r="A217" s="9">
        <v>1339</v>
      </c>
      <c r="B217" s="10" t="s">
        <v>1160</v>
      </c>
      <c r="C217" s="11">
        <v>0.06</v>
      </c>
      <c r="D217" s="12" t="s">
        <v>1611</v>
      </c>
      <c r="E217" s="13" t="s">
        <v>1075</v>
      </c>
    </row>
    <row r="218" spans="1:5">
      <c r="A218" s="9">
        <v>1340</v>
      </c>
      <c r="B218" s="10" t="s">
        <v>1161</v>
      </c>
      <c r="C218" s="11">
        <v>0.06</v>
      </c>
      <c r="D218" s="12" t="s">
        <v>1611</v>
      </c>
      <c r="E218" s="13" t="s">
        <v>1075</v>
      </c>
    </row>
    <row r="219" spans="1:5">
      <c r="A219" s="9">
        <v>1346</v>
      </c>
      <c r="B219" s="10" t="s">
        <v>1162</v>
      </c>
      <c r="C219" s="11">
        <v>0.06</v>
      </c>
      <c r="D219" s="12" t="s">
        <v>1611</v>
      </c>
      <c r="E219" s="13" t="s">
        <v>1075</v>
      </c>
    </row>
    <row r="220" spans="1:5">
      <c r="A220" s="9">
        <v>1347</v>
      </c>
      <c r="B220" s="10" t="s">
        <v>1163</v>
      </c>
      <c r="C220" s="11">
        <v>0.06</v>
      </c>
      <c r="D220" s="12" t="s">
        <v>1611</v>
      </c>
      <c r="E220" s="13" t="s">
        <v>1075</v>
      </c>
    </row>
    <row r="221" spans="1:5">
      <c r="A221" s="9">
        <v>1349</v>
      </c>
      <c r="B221" s="10" t="s">
        <v>1164</v>
      </c>
      <c r="C221" s="11">
        <v>0.06</v>
      </c>
      <c r="D221" s="12" t="s">
        <v>1611</v>
      </c>
      <c r="E221" s="13" t="s">
        <v>1075</v>
      </c>
    </row>
    <row r="222" spans="1:5">
      <c r="A222" s="9">
        <v>1350</v>
      </c>
      <c r="B222" s="10" t="s">
        <v>1165</v>
      </c>
      <c r="C222" s="11">
        <v>0.06</v>
      </c>
      <c r="D222" s="12" t="s">
        <v>1611</v>
      </c>
      <c r="E222" s="13" t="s">
        <v>1075</v>
      </c>
    </row>
    <row r="223" spans="1:5">
      <c r="A223" s="9">
        <v>2005</v>
      </c>
      <c r="B223" s="10" t="s">
        <v>1166</v>
      </c>
      <c r="C223" s="11">
        <v>0.06</v>
      </c>
      <c r="D223" s="12" t="s">
        <v>1611</v>
      </c>
      <c r="E223" s="13" t="s">
        <v>1075</v>
      </c>
    </row>
    <row r="224" spans="1:5">
      <c r="A224" s="9">
        <v>2006</v>
      </c>
      <c r="B224" s="10" t="s">
        <v>1167</v>
      </c>
      <c r="C224" s="11">
        <v>0.06</v>
      </c>
      <c r="D224" s="12" t="s">
        <v>1611</v>
      </c>
      <c r="E224" s="13" t="s">
        <v>1075</v>
      </c>
    </row>
    <row r="225" spans="1:5">
      <c r="A225" s="9">
        <v>2012</v>
      </c>
      <c r="B225" s="10" t="s">
        <v>1168</v>
      </c>
      <c r="C225" s="11">
        <v>0.06</v>
      </c>
      <c r="D225" s="12" t="s">
        <v>1611</v>
      </c>
      <c r="E225" s="13" t="s">
        <v>1075</v>
      </c>
    </row>
    <row r="226" spans="1:5">
      <c r="A226" s="9">
        <v>2013</v>
      </c>
      <c r="B226" s="10" t="s">
        <v>1169</v>
      </c>
      <c r="C226" s="11">
        <v>0.06</v>
      </c>
      <c r="D226" s="12" t="s">
        <v>1611</v>
      </c>
      <c r="E226" s="13" t="s">
        <v>1075</v>
      </c>
    </row>
    <row r="227" spans="1:5">
      <c r="A227" s="9">
        <v>2015</v>
      </c>
      <c r="B227" s="10" t="s">
        <v>1170</v>
      </c>
      <c r="C227" s="11">
        <v>0.06</v>
      </c>
      <c r="D227" s="12" t="s">
        <v>1611</v>
      </c>
      <c r="E227" s="13" t="s">
        <v>1075</v>
      </c>
    </row>
    <row r="228" spans="1:5">
      <c r="A228" s="9">
        <v>2016</v>
      </c>
      <c r="B228" s="10" t="s">
        <v>1171</v>
      </c>
      <c r="C228" s="11">
        <v>0.06</v>
      </c>
      <c r="D228" s="12" t="s">
        <v>1611</v>
      </c>
      <c r="E228" s="13" t="s">
        <v>1075</v>
      </c>
    </row>
    <row r="229" spans="1:5">
      <c r="A229" s="9">
        <v>1342</v>
      </c>
      <c r="B229" s="10" t="s">
        <v>1172</v>
      </c>
      <c r="C229" s="11">
        <v>0.06</v>
      </c>
      <c r="D229" s="12" t="s">
        <v>1611</v>
      </c>
      <c r="E229" s="13" t="s">
        <v>1075</v>
      </c>
    </row>
    <row r="230" spans="1:5">
      <c r="A230" s="9">
        <v>1343</v>
      </c>
      <c r="B230" s="10" t="s">
        <v>1173</v>
      </c>
      <c r="C230" s="11">
        <v>0.06</v>
      </c>
      <c r="D230" s="12" t="s">
        <v>1611</v>
      </c>
      <c r="E230" s="13" t="s">
        <v>1075</v>
      </c>
    </row>
    <row r="231" spans="1:5">
      <c r="A231" s="9">
        <v>2008</v>
      </c>
      <c r="B231" s="10" t="s">
        <v>1174</v>
      </c>
      <c r="C231" s="11">
        <v>0.06</v>
      </c>
      <c r="D231" s="12" t="s">
        <v>1611</v>
      </c>
      <c r="E231" s="13" t="s">
        <v>1075</v>
      </c>
    </row>
    <row r="232" spans="1:5">
      <c r="A232" s="9">
        <v>2009</v>
      </c>
      <c r="B232" s="10" t="s">
        <v>1175</v>
      </c>
      <c r="C232" s="11">
        <v>0.06</v>
      </c>
      <c r="D232" s="12" t="s">
        <v>1611</v>
      </c>
      <c r="E232" s="13" t="s">
        <v>1075</v>
      </c>
    </row>
    <row r="233" spans="1:5">
      <c r="A233" s="9">
        <v>1352</v>
      </c>
      <c r="B233" s="10" t="s">
        <v>1176</v>
      </c>
      <c r="C233" s="11">
        <v>0.06</v>
      </c>
      <c r="D233" s="12" t="s">
        <v>1612</v>
      </c>
      <c r="E233" s="13" t="s">
        <v>1075</v>
      </c>
    </row>
    <row r="234" spans="1:5">
      <c r="A234" s="9">
        <v>1353</v>
      </c>
      <c r="B234" s="10" t="s">
        <v>1177</v>
      </c>
      <c r="C234" s="11">
        <v>0.06</v>
      </c>
      <c r="D234" s="12" t="s">
        <v>1612</v>
      </c>
      <c r="E234" s="13" t="s">
        <v>1075</v>
      </c>
    </row>
    <row r="235" ht="31.5" spans="1:6">
      <c r="A235" s="9">
        <v>2745</v>
      </c>
      <c r="B235" s="10" t="s">
        <v>1178</v>
      </c>
      <c r="C235" s="11"/>
      <c r="D235" s="12"/>
      <c r="E235" s="30" t="s">
        <v>1610</v>
      </c>
      <c r="F235" s="14" t="s">
        <v>1550</v>
      </c>
    </row>
    <row r="236" ht="31.5" spans="1:6">
      <c r="A236" s="9">
        <v>2746</v>
      </c>
      <c r="B236" s="10" t="s">
        <v>1179</v>
      </c>
      <c r="C236" s="11"/>
      <c r="D236" s="12"/>
      <c r="E236" s="30" t="s">
        <v>1610</v>
      </c>
      <c r="F236" s="14" t="s">
        <v>1550</v>
      </c>
    </row>
    <row r="237" ht="31.5" spans="1:6">
      <c r="A237" s="9">
        <v>1373</v>
      </c>
      <c r="B237" s="10" t="s">
        <v>1180</v>
      </c>
      <c r="C237" s="11"/>
      <c r="D237" s="12" t="s">
        <v>1619</v>
      </c>
      <c r="E237" s="36" t="s">
        <v>1620</v>
      </c>
      <c r="F237" s="14" t="s">
        <v>1550</v>
      </c>
    </row>
    <row r="238" ht="21" spans="1:5">
      <c r="A238" s="9">
        <v>1375</v>
      </c>
      <c r="B238" s="10" t="s">
        <v>1181</v>
      </c>
      <c r="C238" s="11">
        <v>0.06</v>
      </c>
      <c r="D238" s="12" t="s">
        <v>1576</v>
      </c>
      <c r="E238" s="13" t="s">
        <v>1075</v>
      </c>
    </row>
    <row r="239" ht="21" spans="1:5">
      <c r="A239" s="9">
        <v>1376</v>
      </c>
      <c r="B239" s="10" t="s">
        <v>1182</v>
      </c>
      <c r="C239" s="11">
        <v>0.06</v>
      </c>
      <c r="D239" s="12" t="s">
        <v>1576</v>
      </c>
      <c r="E239" s="13" t="s">
        <v>1075</v>
      </c>
    </row>
    <row r="240" ht="21" spans="1:5">
      <c r="A240" s="9">
        <v>1378</v>
      </c>
      <c r="B240" s="10" t="s">
        <v>1183</v>
      </c>
      <c r="C240" s="11">
        <v>0.06</v>
      </c>
      <c r="D240" s="12" t="s">
        <v>1576</v>
      </c>
      <c r="E240" s="13" t="s">
        <v>1075</v>
      </c>
    </row>
    <row r="241" ht="21" spans="1:5">
      <c r="A241" s="9">
        <v>1379</v>
      </c>
      <c r="B241" s="10" t="s">
        <v>1184</v>
      </c>
      <c r="C241" s="11">
        <v>0.06</v>
      </c>
      <c r="D241" s="12" t="s">
        <v>1576</v>
      </c>
      <c r="E241" s="13" t="s">
        <v>1075</v>
      </c>
    </row>
    <row r="242" ht="21" spans="1:5">
      <c r="A242" s="9">
        <v>1380</v>
      </c>
      <c r="B242" s="10" t="s">
        <v>1185</v>
      </c>
      <c r="C242" s="11">
        <v>0.06</v>
      </c>
      <c r="D242" s="12" t="s">
        <v>1576</v>
      </c>
      <c r="E242" s="13" t="s">
        <v>1075</v>
      </c>
    </row>
    <row r="243" spans="1:5">
      <c r="A243" s="15">
        <v>3193</v>
      </c>
      <c r="B243" s="16" t="s">
        <v>1186</v>
      </c>
      <c r="C243" s="17">
        <v>0.06</v>
      </c>
      <c r="D243" s="18" t="s">
        <v>1612</v>
      </c>
      <c r="E243" s="19"/>
    </row>
    <row r="244" spans="1:5">
      <c r="A244" s="15">
        <v>3194</v>
      </c>
      <c r="B244" s="16" t="s">
        <v>1187</v>
      </c>
      <c r="C244" s="17">
        <v>0.06</v>
      </c>
      <c r="D244" s="18" t="s">
        <v>1612</v>
      </c>
      <c r="E244" s="19"/>
    </row>
    <row r="245" spans="1:5">
      <c r="A245" s="9">
        <v>2555</v>
      </c>
      <c r="B245" s="10" t="s">
        <v>1188</v>
      </c>
      <c r="C245" s="11">
        <v>0.06</v>
      </c>
      <c r="D245" s="12" t="s">
        <v>1612</v>
      </c>
      <c r="E245" s="13"/>
    </row>
    <row r="246" spans="1:5">
      <c r="A246" s="9">
        <v>2556</v>
      </c>
      <c r="B246" s="10" t="s">
        <v>1189</v>
      </c>
      <c r="C246" s="11">
        <v>0.06</v>
      </c>
      <c r="D246" s="12" t="s">
        <v>1612</v>
      </c>
      <c r="E246" s="13"/>
    </row>
    <row r="247" spans="1:5">
      <c r="A247" s="9">
        <v>1405</v>
      </c>
      <c r="B247" s="10" t="s">
        <v>945</v>
      </c>
      <c r="C247" s="11">
        <v>0.13</v>
      </c>
      <c r="D247" s="12" t="s">
        <v>1622</v>
      </c>
      <c r="E247" s="13" t="s">
        <v>1075</v>
      </c>
    </row>
    <row r="248" ht="21" spans="1:6">
      <c r="A248" s="9">
        <v>1408</v>
      </c>
      <c r="B248" s="10" t="s">
        <v>1190</v>
      </c>
      <c r="C248" s="31" t="s">
        <v>1058</v>
      </c>
      <c r="D248" s="32" t="s">
        <v>1613</v>
      </c>
      <c r="E248" s="43" t="s">
        <v>1614</v>
      </c>
      <c r="F248" s="14" t="s">
        <v>1550</v>
      </c>
    </row>
    <row r="249" spans="1:5">
      <c r="A249" s="9">
        <v>1409</v>
      </c>
      <c r="B249" s="10" t="s">
        <v>1191</v>
      </c>
      <c r="C249" s="11">
        <v>0.09</v>
      </c>
      <c r="D249" s="12" t="s">
        <v>1615</v>
      </c>
      <c r="E249" s="13"/>
    </row>
    <row r="250" spans="1:5">
      <c r="A250" s="9">
        <v>1410</v>
      </c>
      <c r="B250" s="10" t="s">
        <v>1192</v>
      </c>
      <c r="C250" s="11">
        <v>0.09</v>
      </c>
      <c r="D250" s="12" t="s">
        <v>1615</v>
      </c>
      <c r="E250" s="13"/>
    </row>
    <row r="251" ht="31.5" spans="1:6">
      <c r="A251" s="9">
        <v>1411</v>
      </c>
      <c r="B251" s="10" t="s">
        <v>1193</v>
      </c>
      <c r="C251" s="31" t="s">
        <v>1061</v>
      </c>
      <c r="D251" s="32" t="s">
        <v>1616</v>
      </c>
      <c r="E251" s="30" t="s">
        <v>1610</v>
      </c>
      <c r="F251" s="14" t="s">
        <v>1550</v>
      </c>
    </row>
    <row r="252" ht="31.5" spans="1:6">
      <c r="A252" s="9">
        <v>1412</v>
      </c>
      <c r="B252" s="10" t="s">
        <v>1194</v>
      </c>
      <c r="C252" s="31" t="s">
        <v>1061</v>
      </c>
      <c r="D252" s="32" t="s">
        <v>1616</v>
      </c>
      <c r="E252" s="30" t="s">
        <v>1610</v>
      </c>
      <c r="F252" s="14" t="s">
        <v>1550</v>
      </c>
    </row>
    <row r="253" ht="31.5" spans="1:6">
      <c r="A253" s="9">
        <v>1413</v>
      </c>
      <c r="B253" s="10" t="s">
        <v>1195</v>
      </c>
      <c r="C253" s="31" t="s">
        <v>1061</v>
      </c>
      <c r="D253" s="32" t="s">
        <v>1616</v>
      </c>
      <c r="E253" s="30" t="s">
        <v>1610</v>
      </c>
      <c r="F253" s="14" t="s">
        <v>1550</v>
      </c>
    </row>
    <row r="254" ht="31.5" spans="1:6">
      <c r="A254" s="9">
        <v>1414</v>
      </c>
      <c r="B254" s="10" t="s">
        <v>164</v>
      </c>
      <c r="C254" s="31" t="s">
        <v>1061</v>
      </c>
      <c r="D254" s="32" t="s">
        <v>1616</v>
      </c>
      <c r="E254" s="30" t="s">
        <v>1610</v>
      </c>
      <c r="F254" s="14" t="s">
        <v>1550</v>
      </c>
    </row>
    <row r="255" ht="21" spans="1:5">
      <c r="A255" s="9">
        <v>1417</v>
      </c>
      <c r="B255" s="10" t="s">
        <v>1196</v>
      </c>
      <c r="C255" s="11">
        <v>0.06</v>
      </c>
      <c r="D255" s="12" t="s">
        <v>1576</v>
      </c>
      <c r="E255" s="13" t="s">
        <v>1075</v>
      </c>
    </row>
    <row r="256" ht="21" spans="1:5">
      <c r="A256" s="9">
        <v>1418</v>
      </c>
      <c r="B256" s="10" t="s">
        <v>1197</v>
      </c>
      <c r="C256" s="11">
        <v>0.06</v>
      </c>
      <c r="D256" s="12" t="s">
        <v>1576</v>
      </c>
      <c r="E256" s="13" t="s">
        <v>1075</v>
      </c>
    </row>
    <row r="257" spans="1:5">
      <c r="A257" s="9">
        <v>1291</v>
      </c>
      <c r="B257" s="10" t="s">
        <v>1198</v>
      </c>
      <c r="C257" s="11">
        <v>0.06</v>
      </c>
      <c r="D257" s="12" t="s">
        <v>1623</v>
      </c>
      <c r="E257" s="13" t="s">
        <v>1075</v>
      </c>
    </row>
    <row r="258" spans="1:5">
      <c r="A258" s="9">
        <v>1294</v>
      </c>
      <c r="B258" s="10" t="s">
        <v>1199</v>
      </c>
      <c r="C258" s="11">
        <v>0.06</v>
      </c>
      <c r="D258" s="12" t="s">
        <v>1617</v>
      </c>
      <c r="E258" s="13" t="s">
        <v>1075</v>
      </c>
    </row>
    <row r="259" spans="1:5">
      <c r="A259" s="9">
        <v>1295</v>
      </c>
      <c r="B259" s="10" t="s">
        <v>1200</v>
      </c>
      <c r="C259" s="11">
        <v>0.06</v>
      </c>
      <c r="D259" s="12" t="s">
        <v>1617</v>
      </c>
      <c r="E259" s="13" t="s">
        <v>1075</v>
      </c>
    </row>
    <row r="260" spans="1:5">
      <c r="A260" s="9">
        <v>1296</v>
      </c>
      <c r="B260" s="10" t="s">
        <v>1201</v>
      </c>
      <c r="C260" s="11">
        <v>0.06</v>
      </c>
      <c r="D260" s="12" t="s">
        <v>1617</v>
      </c>
      <c r="E260" s="13" t="s">
        <v>1075</v>
      </c>
    </row>
    <row r="261" spans="1:5">
      <c r="A261" s="9">
        <v>1297</v>
      </c>
      <c r="B261" s="10" t="s">
        <v>1202</v>
      </c>
      <c r="C261" s="11">
        <v>0.06</v>
      </c>
      <c r="D261" s="12" t="s">
        <v>1617</v>
      </c>
      <c r="E261" s="13" t="s">
        <v>1075</v>
      </c>
    </row>
    <row r="262" spans="1:5">
      <c r="A262" s="9">
        <v>1298</v>
      </c>
      <c r="B262" s="10" t="s">
        <v>1203</v>
      </c>
      <c r="C262" s="11">
        <v>0.06</v>
      </c>
      <c r="D262" s="12" t="s">
        <v>1617</v>
      </c>
      <c r="E262" s="13" t="s">
        <v>1075</v>
      </c>
    </row>
    <row r="263" spans="1:5">
      <c r="A263" s="9">
        <v>1299</v>
      </c>
      <c r="B263" s="10" t="s">
        <v>1204</v>
      </c>
      <c r="C263" s="11">
        <v>0.06</v>
      </c>
      <c r="D263" s="12" t="s">
        <v>1617</v>
      </c>
      <c r="E263" s="13" t="s">
        <v>1075</v>
      </c>
    </row>
    <row r="264" ht="31.5" spans="1:6">
      <c r="A264" s="9">
        <v>2751</v>
      </c>
      <c r="B264" s="10" t="s">
        <v>1205</v>
      </c>
      <c r="C264" s="11"/>
      <c r="D264" s="12"/>
      <c r="E264" s="30" t="s">
        <v>1610</v>
      </c>
      <c r="F264" s="14" t="s">
        <v>1550</v>
      </c>
    </row>
    <row r="265" ht="31.5" spans="1:6">
      <c r="A265" s="9">
        <v>2752</v>
      </c>
      <c r="B265" s="10" t="s">
        <v>1206</v>
      </c>
      <c r="C265" s="11"/>
      <c r="D265" s="12"/>
      <c r="E265" s="30" t="s">
        <v>1610</v>
      </c>
      <c r="F265" s="14" t="s">
        <v>1550</v>
      </c>
    </row>
    <row r="266" spans="1:5">
      <c r="A266" s="9">
        <v>2978</v>
      </c>
      <c r="B266" s="10" t="s">
        <v>1207</v>
      </c>
      <c r="C266" s="11">
        <v>0.06</v>
      </c>
      <c r="D266" s="12" t="s">
        <v>1612</v>
      </c>
      <c r="E266" s="13" t="s">
        <v>1075</v>
      </c>
    </row>
    <row r="267" spans="1:5">
      <c r="A267" s="9">
        <v>2979</v>
      </c>
      <c r="B267" s="10" t="s">
        <v>1208</v>
      </c>
      <c r="C267" s="11">
        <v>0.06</v>
      </c>
      <c r="D267" s="12" t="s">
        <v>1612</v>
      </c>
      <c r="E267" s="13" t="s">
        <v>1075</v>
      </c>
    </row>
    <row r="268" spans="1:5">
      <c r="A268" s="9">
        <v>2980</v>
      </c>
      <c r="B268" s="10" t="s">
        <v>1209</v>
      </c>
      <c r="C268" s="11">
        <v>0.06</v>
      </c>
      <c r="D268" s="12" t="s">
        <v>1612</v>
      </c>
      <c r="E268" s="13" t="s">
        <v>1075</v>
      </c>
    </row>
    <row r="269" spans="1:5">
      <c r="A269" s="9">
        <v>2982</v>
      </c>
      <c r="B269" s="10" t="s">
        <v>1624</v>
      </c>
      <c r="C269" s="11">
        <v>0.06</v>
      </c>
      <c r="D269" s="12" t="s">
        <v>1612</v>
      </c>
      <c r="E269" s="13"/>
    </row>
    <row r="270" spans="1:5">
      <c r="A270" s="9">
        <v>2983</v>
      </c>
      <c r="B270" s="10" t="s">
        <v>1210</v>
      </c>
      <c r="C270" s="11">
        <v>0.06</v>
      </c>
      <c r="D270" s="12" t="s">
        <v>1612</v>
      </c>
      <c r="E270" s="13"/>
    </row>
    <row r="271" spans="1:5">
      <c r="A271" s="9">
        <v>2985</v>
      </c>
      <c r="B271" s="10" t="s">
        <v>1211</v>
      </c>
      <c r="C271" s="11">
        <v>0.09</v>
      </c>
      <c r="D271" s="12" t="s">
        <v>1615</v>
      </c>
      <c r="E271" s="13" t="s">
        <v>1075</v>
      </c>
    </row>
    <row r="272" spans="1:5">
      <c r="A272" s="9">
        <v>2986</v>
      </c>
      <c r="B272" s="10" t="s">
        <v>1212</v>
      </c>
      <c r="C272" s="11">
        <v>0.09</v>
      </c>
      <c r="D272" s="12" t="s">
        <v>1615</v>
      </c>
      <c r="E272" s="13" t="s">
        <v>1075</v>
      </c>
    </row>
    <row r="273" spans="1:5">
      <c r="A273" s="9">
        <v>2987</v>
      </c>
      <c r="B273" s="10" t="s">
        <v>1213</v>
      </c>
      <c r="C273" s="11">
        <v>0.09</v>
      </c>
      <c r="D273" s="12" t="s">
        <v>1615</v>
      </c>
      <c r="E273" s="13" t="s">
        <v>1075</v>
      </c>
    </row>
    <row r="274" spans="1:5">
      <c r="A274" s="9">
        <v>2989</v>
      </c>
      <c r="B274" s="10" t="s">
        <v>1214</v>
      </c>
      <c r="C274" s="11">
        <v>0.06</v>
      </c>
      <c r="D274" s="12" t="s">
        <v>1612</v>
      </c>
      <c r="E274" s="13"/>
    </row>
    <row r="275" spans="1:5">
      <c r="A275" s="9">
        <v>2990</v>
      </c>
      <c r="B275" s="10" t="s">
        <v>1215</v>
      </c>
      <c r="C275" s="11">
        <v>0.06</v>
      </c>
      <c r="D275" s="12" t="s">
        <v>1612</v>
      </c>
      <c r="E275" s="13"/>
    </row>
    <row r="276" spans="1:5">
      <c r="A276" s="9">
        <v>2991</v>
      </c>
      <c r="B276" s="10" t="s">
        <v>1216</v>
      </c>
      <c r="C276" s="11">
        <v>0.06</v>
      </c>
      <c r="D276" s="12" t="s">
        <v>1612</v>
      </c>
      <c r="E276" s="13"/>
    </row>
    <row r="277" spans="1:5">
      <c r="A277" s="9">
        <v>2999</v>
      </c>
      <c r="B277" s="10" t="s">
        <v>1625</v>
      </c>
      <c r="C277" s="11">
        <v>0.06</v>
      </c>
      <c r="D277" s="12" t="s">
        <v>1612</v>
      </c>
      <c r="E277" s="13" t="s">
        <v>1075</v>
      </c>
    </row>
    <row r="278" spans="1:5">
      <c r="A278" s="9">
        <v>3000</v>
      </c>
      <c r="B278" s="10" t="s">
        <v>1217</v>
      </c>
      <c r="C278" s="11">
        <v>0.06</v>
      </c>
      <c r="D278" s="12" t="s">
        <v>1612</v>
      </c>
      <c r="E278" s="13" t="s">
        <v>1075</v>
      </c>
    </row>
    <row r="279" spans="1:5">
      <c r="A279" s="9">
        <v>3001</v>
      </c>
      <c r="B279" s="10" t="s">
        <v>1218</v>
      </c>
      <c r="C279" s="11">
        <v>0.06</v>
      </c>
      <c r="D279" s="12" t="s">
        <v>1612</v>
      </c>
      <c r="E279" s="13" t="s">
        <v>1075</v>
      </c>
    </row>
    <row r="280" spans="1:5">
      <c r="A280" s="9">
        <v>3004</v>
      </c>
      <c r="B280" s="10" t="s">
        <v>1219</v>
      </c>
      <c r="C280" s="11">
        <v>0.06</v>
      </c>
      <c r="D280" s="12" t="s">
        <v>1612</v>
      </c>
      <c r="E280" s="13"/>
    </row>
    <row r="281" spans="1:5">
      <c r="A281" s="9">
        <v>3005</v>
      </c>
      <c r="B281" s="10" t="s">
        <v>1220</v>
      </c>
      <c r="C281" s="11">
        <v>0.06</v>
      </c>
      <c r="D281" s="12" t="s">
        <v>1612</v>
      </c>
      <c r="E281" s="13"/>
    </row>
    <row r="282" spans="1:5">
      <c r="A282" s="9">
        <v>3007</v>
      </c>
      <c r="B282" s="10" t="s">
        <v>1221</v>
      </c>
      <c r="C282" s="11">
        <v>0.09</v>
      </c>
      <c r="D282" s="12" t="s">
        <v>1615</v>
      </c>
      <c r="E282" s="13" t="s">
        <v>1075</v>
      </c>
    </row>
    <row r="283" spans="1:5">
      <c r="A283" s="9">
        <v>3008</v>
      </c>
      <c r="B283" s="10" t="s">
        <v>1222</v>
      </c>
      <c r="C283" s="11">
        <v>0.09</v>
      </c>
      <c r="D283" s="12" t="s">
        <v>1615</v>
      </c>
      <c r="E283" s="13" t="s">
        <v>1075</v>
      </c>
    </row>
    <row r="284" spans="1:5">
      <c r="A284" s="9">
        <v>3009</v>
      </c>
      <c r="B284" s="10" t="s">
        <v>1223</v>
      </c>
      <c r="C284" s="11">
        <v>0.09</v>
      </c>
      <c r="D284" s="12" t="s">
        <v>1615</v>
      </c>
      <c r="E284" s="13" t="s">
        <v>1075</v>
      </c>
    </row>
    <row r="285" spans="1:5">
      <c r="A285" s="9">
        <v>3012</v>
      </c>
      <c r="B285" s="10" t="s">
        <v>1224</v>
      </c>
      <c r="C285" s="11">
        <v>0.06</v>
      </c>
      <c r="D285" s="12" t="s">
        <v>1612</v>
      </c>
      <c r="E285" s="13"/>
    </row>
    <row r="286" spans="1:5">
      <c r="A286" s="9">
        <v>3013</v>
      </c>
      <c r="B286" s="10" t="s">
        <v>1225</v>
      </c>
      <c r="C286" s="11">
        <v>0.06</v>
      </c>
      <c r="D286" s="12" t="s">
        <v>1612</v>
      </c>
      <c r="E286" s="13"/>
    </row>
    <row r="287" spans="1:5">
      <c r="A287" s="9">
        <v>3014</v>
      </c>
      <c r="B287" s="10" t="s">
        <v>1626</v>
      </c>
      <c r="C287" s="11">
        <v>0.06</v>
      </c>
      <c r="D287" s="12" t="s">
        <v>1612</v>
      </c>
      <c r="E287" s="13"/>
    </row>
    <row r="288" spans="1:5">
      <c r="A288" s="9">
        <v>2957</v>
      </c>
      <c r="B288" s="10" t="s">
        <v>1226</v>
      </c>
      <c r="C288" s="11">
        <v>0.06</v>
      </c>
      <c r="D288" s="12" t="s">
        <v>1612</v>
      </c>
      <c r="E288" s="13" t="s">
        <v>1075</v>
      </c>
    </row>
    <row r="289" spans="1:5">
      <c r="A289" s="9">
        <v>2958</v>
      </c>
      <c r="B289" s="10" t="s">
        <v>1227</v>
      </c>
      <c r="C289" s="11">
        <v>0.06</v>
      </c>
      <c r="D289" s="12" t="s">
        <v>1612</v>
      </c>
      <c r="E289" s="13" t="s">
        <v>1075</v>
      </c>
    </row>
    <row r="290" spans="1:5">
      <c r="A290" s="9">
        <v>2024</v>
      </c>
      <c r="B290" s="10" t="s">
        <v>1228</v>
      </c>
      <c r="C290" s="11">
        <v>0.06</v>
      </c>
      <c r="D290" s="12" t="s">
        <v>1612</v>
      </c>
      <c r="E290" s="13" t="s">
        <v>1075</v>
      </c>
    </row>
    <row r="291" spans="1:5">
      <c r="A291" s="9">
        <v>2330</v>
      </c>
      <c r="B291" s="10" t="s">
        <v>1229</v>
      </c>
      <c r="C291" s="11">
        <v>0.06</v>
      </c>
      <c r="D291" s="12" t="s">
        <v>1612</v>
      </c>
      <c r="E291" s="13"/>
    </row>
    <row r="292" spans="1:5">
      <c r="A292" s="9">
        <v>2959</v>
      </c>
      <c r="B292" s="10" t="s">
        <v>1230</v>
      </c>
      <c r="C292" s="11">
        <v>0.06</v>
      </c>
      <c r="D292" s="12" t="s">
        <v>1612</v>
      </c>
      <c r="E292" s="13"/>
    </row>
    <row r="293" spans="1:5">
      <c r="A293" s="9">
        <v>2960</v>
      </c>
      <c r="B293" s="10" t="s">
        <v>1231</v>
      </c>
      <c r="C293" s="11">
        <v>0.06</v>
      </c>
      <c r="D293" s="12" t="s">
        <v>1612</v>
      </c>
      <c r="E293" s="13"/>
    </row>
    <row r="294" spans="1:5">
      <c r="A294" s="9">
        <v>2027</v>
      </c>
      <c r="B294" s="10" t="s">
        <v>1232</v>
      </c>
      <c r="C294" s="11">
        <v>0.09</v>
      </c>
      <c r="D294" s="12" t="s">
        <v>1615</v>
      </c>
      <c r="E294" s="13" t="s">
        <v>1075</v>
      </c>
    </row>
    <row r="295" spans="1:5">
      <c r="A295" s="9">
        <v>2028</v>
      </c>
      <c r="B295" s="10" t="s">
        <v>1233</v>
      </c>
      <c r="C295" s="11">
        <v>0.09</v>
      </c>
      <c r="D295" s="12" t="s">
        <v>1615</v>
      </c>
      <c r="E295" s="13" t="s">
        <v>1075</v>
      </c>
    </row>
    <row r="296" spans="1:5">
      <c r="A296" s="9">
        <v>2029</v>
      </c>
      <c r="B296" s="10" t="s">
        <v>1234</v>
      </c>
      <c r="C296" s="11">
        <v>0.09</v>
      </c>
      <c r="D296" s="12" t="s">
        <v>1615</v>
      </c>
      <c r="E296" s="13" t="s">
        <v>1075</v>
      </c>
    </row>
    <row r="297" spans="1:5">
      <c r="A297" s="9">
        <v>2568</v>
      </c>
      <c r="B297" s="10" t="s">
        <v>1235</v>
      </c>
      <c r="C297" s="11">
        <v>0.06</v>
      </c>
      <c r="D297" s="12" t="s">
        <v>1612</v>
      </c>
      <c r="E297" s="13"/>
    </row>
    <row r="298" spans="1:5">
      <c r="A298" s="9">
        <v>2569</v>
      </c>
      <c r="B298" s="10" t="s">
        <v>1236</v>
      </c>
      <c r="C298" s="11">
        <v>0.06</v>
      </c>
      <c r="D298" s="12" t="s">
        <v>1612</v>
      </c>
      <c r="E298" s="13"/>
    </row>
    <row r="299" spans="1:5">
      <c r="A299" s="9">
        <v>2913</v>
      </c>
      <c r="B299" s="10" t="s">
        <v>1237</v>
      </c>
      <c r="C299" s="11">
        <v>0.06</v>
      </c>
      <c r="D299" s="12" t="s">
        <v>1612</v>
      </c>
      <c r="E299" s="13"/>
    </row>
    <row r="300" spans="1:5">
      <c r="A300" s="9">
        <v>2036</v>
      </c>
      <c r="B300" s="10" t="s">
        <v>1238</v>
      </c>
      <c r="C300" s="11">
        <v>0.06</v>
      </c>
      <c r="D300" s="12" t="s">
        <v>1612</v>
      </c>
      <c r="E300" s="13"/>
    </row>
    <row r="301" spans="1:5">
      <c r="A301" s="9">
        <v>3020</v>
      </c>
      <c r="B301" s="10" t="s">
        <v>1239</v>
      </c>
      <c r="C301" s="11">
        <v>0.09</v>
      </c>
      <c r="D301" s="12" t="s">
        <v>1615</v>
      </c>
      <c r="E301" s="13" t="s">
        <v>1075</v>
      </c>
    </row>
    <row r="302" spans="1:5">
      <c r="A302" s="9">
        <v>3021</v>
      </c>
      <c r="B302" s="10" t="s">
        <v>1240</v>
      </c>
      <c r="C302" s="11">
        <v>0.09</v>
      </c>
      <c r="D302" s="12" t="s">
        <v>1615</v>
      </c>
      <c r="E302" s="13" t="s">
        <v>1075</v>
      </c>
    </row>
    <row r="303" spans="1:5">
      <c r="A303" s="9">
        <v>3029</v>
      </c>
      <c r="B303" s="10" t="s">
        <v>1627</v>
      </c>
      <c r="C303" s="11">
        <v>0.09</v>
      </c>
      <c r="D303" s="12" t="s">
        <v>1615</v>
      </c>
      <c r="E303" s="13"/>
    </row>
    <row r="304" spans="1:5">
      <c r="A304" s="9">
        <v>3030</v>
      </c>
      <c r="B304" s="10" t="s">
        <v>1628</v>
      </c>
      <c r="C304" s="11">
        <v>0.09</v>
      </c>
      <c r="D304" s="12" t="s">
        <v>1615</v>
      </c>
      <c r="E304" s="13"/>
    </row>
    <row r="305" spans="1:5">
      <c r="A305" s="9">
        <v>3032</v>
      </c>
      <c r="B305" s="10" t="s">
        <v>1629</v>
      </c>
      <c r="C305" s="11">
        <v>0.09</v>
      </c>
      <c r="D305" s="12" t="s">
        <v>1615</v>
      </c>
      <c r="E305" s="13"/>
    </row>
    <row r="306" spans="1:6">
      <c r="A306" s="9">
        <v>3033</v>
      </c>
      <c r="B306" s="10" t="s">
        <v>1241</v>
      </c>
      <c r="C306" s="11">
        <v>0</v>
      </c>
      <c r="D306" s="36" t="s">
        <v>1549</v>
      </c>
      <c r="E306" s="36" t="s">
        <v>1549</v>
      </c>
      <c r="F306" s="14" t="s">
        <v>1550</v>
      </c>
    </row>
    <row r="307" spans="1:5">
      <c r="A307" s="15">
        <v>3170</v>
      </c>
      <c r="B307" s="16" t="s">
        <v>1242</v>
      </c>
      <c r="C307" s="17">
        <v>0.09</v>
      </c>
      <c r="D307" s="41" t="s">
        <v>1615</v>
      </c>
      <c r="E307" s="19"/>
    </row>
    <row r="308" spans="1:5">
      <c r="A308" s="15">
        <v>3171</v>
      </c>
      <c r="B308" s="16" t="s">
        <v>1243</v>
      </c>
      <c r="C308" s="17">
        <v>0.09</v>
      </c>
      <c r="D308" s="41" t="s">
        <v>1615</v>
      </c>
      <c r="E308" s="19"/>
    </row>
    <row r="309" spans="1:5">
      <c r="A309" s="9">
        <v>3058</v>
      </c>
      <c r="B309" s="10" t="s">
        <v>1630</v>
      </c>
      <c r="C309" s="11">
        <v>0.09</v>
      </c>
      <c r="D309" s="12" t="s">
        <v>1615</v>
      </c>
      <c r="E309" s="13" t="s">
        <v>1075</v>
      </c>
    </row>
    <row r="310" spans="1:5">
      <c r="A310" s="9">
        <v>3059</v>
      </c>
      <c r="B310" s="10" t="s">
        <v>1631</v>
      </c>
      <c r="C310" s="11">
        <v>0.09</v>
      </c>
      <c r="D310" s="12" t="s">
        <v>1615</v>
      </c>
      <c r="E310" s="13" t="s">
        <v>1075</v>
      </c>
    </row>
    <row r="311" spans="1:5">
      <c r="A311" s="9">
        <v>3061</v>
      </c>
      <c r="B311" s="10" t="s">
        <v>1632</v>
      </c>
      <c r="C311" s="11">
        <v>0.09</v>
      </c>
      <c r="D311" s="12" t="s">
        <v>1615</v>
      </c>
      <c r="E311" s="13" t="s">
        <v>1075</v>
      </c>
    </row>
    <row r="312" spans="1:6">
      <c r="A312" s="9">
        <v>3062</v>
      </c>
      <c r="B312" s="10" t="s">
        <v>1244</v>
      </c>
      <c r="C312" s="11">
        <v>0</v>
      </c>
      <c r="D312" s="36" t="s">
        <v>1549</v>
      </c>
      <c r="E312" s="36" t="s">
        <v>1549</v>
      </c>
      <c r="F312" s="14" t="s">
        <v>1550</v>
      </c>
    </row>
    <row r="313" spans="1:5">
      <c r="A313" s="9">
        <v>3065</v>
      </c>
      <c r="B313" s="10" t="s">
        <v>1633</v>
      </c>
      <c r="C313" s="11">
        <v>0.09</v>
      </c>
      <c r="D313" s="12" t="s">
        <v>1615</v>
      </c>
      <c r="E313" s="13" t="s">
        <v>1075</v>
      </c>
    </row>
    <row r="314" spans="1:5">
      <c r="A314" s="9">
        <v>3066</v>
      </c>
      <c r="B314" s="10" t="s">
        <v>1245</v>
      </c>
      <c r="C314" s="11">
        <v>0.09</v>
      </c>
      <c r="D314" s="12" t="s">
        <v>1615</v>
      </c>
      <c r="E314" s="13" t="s">
        <v>1075</v>
      </c>
    </row>
    <row r="315" spans="1:5">
      <c r="A315" s="9">
        <v>3068</v>
      </c>
      <c r="B315" s="10" t="s">
        <v>1246</v>
      </c>
      <c r="C315" s="11">
        <v>0.09</v>
      </c>
      <c r="D315" s="12" t="s">
        <v>1615</v>
      </c>
      <c r="E315" s="13" t="s">
        <v>1075</v>
      </c>
    </row>
    <row r="316" spans="1:6">
      <c r="A316" s="9">
        <v>3069</v>
      </c>
      <c r="B316" s="10" t="s">
        <v>1247</v>
      </c>
      <c r="C316" s="11">
        <v>0</v>
      </c>
      <c r="D316" s="36" t="s">
        <v>1549</v>
      </c>
      <c r="E316" s="36" t="s">
        <v>1549</v>
      </c>
      <c r="F316" s="14" t="s">
        <v>1550</v>
      </c>
    </row>
    <row r="317" spans="1:5">
      <c r="A317" s="9">
        <v>3071</v>
      </c>
      <c r="B317" s="10" t="s">
        <v>1634</v>
      </c>
      <c r="C317" s="11">
        <v>0.09</v>
      </c>
      <c r="D317" s="12" t="s">
        <v>1615</v>
      </c>
      <c r="E317" s="13" t="s">
        <v>1075</v>
      </c>
    </row>
    <row r="318" spans="1:5">
      <c r="A318" s="9">
        <v>3073</v>
      </c>
      <c r="B318" s="10" t="s">
        <v>1248</v>
      </c>
      <c r="C318" s="11">
        <v>0.09</v>
      </c>
      <c r="D318" s="12" t="s">
        <v>1615</v>
      </c>
      <c r="E318" s="13"/>
    </row>
    <row r="319" spans="1:6">
      <c r="A319" s="9">
        <v>3074</v>
      </c>
      <c r="B319" s="10" t="s">
        <v>1249</v>
      </c>
      <c r="C319" s="11">
        <v>0</v>
      </c>
      <c r="D319" s="36" t="s">
        <v>1549</v>
      </c>
      <c r="E319" s="36" t="s">
        <v>1549</v>
      </c>
      <c r="F319" s="14" t="s">
        <v>1550</v>
      </c>
    </row>
    <row r="320" ht="21" spans="1:5">
      <c r="A320" s="9">
        <v>3075</v>
      </c>
      <c r="B320" s="10" t="s">
        <v>1250</v>
      </c>
      <c r="C320" s="11">
        <v>0.06</v>
      </c>
      <c r="D320" s="12" t="s">
        <v>1576</v>
      </c>
      <c r="E320" s="13" t="s">
        <v>1075</v>
      </c>
    </row>
    <row r="321" spans="1:5">
      <c r="A321" s="9">
        <v>3076</v>
      </c>
      <c r="B321" s="10" t="s">
        <v>1251</v>
      </c>
      <c r="C321" s="11">
        <v>0.09</v>
      </c>
      <c r="D321" s="12" t="s">
        <v>1615</v>
      </c>
      <c r="E321" s="13" t="s">
        <v>1075</v>
      </c>
    </row>
    <row r="322" ht="31.5" spans="1:6">
      <c r="A322" s="9">
        <v>3077</v>
      </c>
      <c r="B322" s="10" t="s">
        <v>1635</v>
      </c>
      <c r="C322" s="11"/>
      <c r="D322" s="12" t="s">
        <v>1636</v>
      </c>
      <c r="E322" s="36" t="s">
        <v>1637</v>
      </c>
      <c r="F322" s="14" t="s">
        <v>1550</v>
      </c>
    </row>
    <row r="323" spans="1:5">
      <c r="A323" s="9">
        <v>3080</v>
      </c>
      <c r="B323" s="10" t="s">
        <v>1252</v>
      </c>
      <c r="C323" s="11">
        <v>0.09</v>
      </c>
      <c r="D323" s="12" t="s">
        <v>1615</v>
      </c>
      <c r="E323" s="13" t="s">
        <v>1075</v>
      </c>
    </row>
    <row r="324" spans="1:5">
      <c r="A324" s="9">
        <v>3081</v>
      </c>
      <c r="B324" s="10" t="s">
        <v>1253</v>
      </c>
      <c r="C324" s="11">
        <v>0.09</v>
      </c>
      <c r="D324" s="12" t="s">
        <v>1615</v>
      </c>
      <c r="E324" s="13" t="s">
        <v>1075</v>
      </c>
    </row>
    <row r="325" spans="1:5">
      <c r="A325" s="9">
        <v>3084</v>
      </c>
      <c r="B325" s="10" t="s">
        <v>1254</v>
      </c>
      <c r="C325" s="11">
        <v>0.09</v>
      </c>
      <c r="D325" s="12" t="s">
        <v>1615</v>
      </c>
      <c r="E325" s="13"/>
    </row>
    <row r="326" spans="1:5">
      <c r="A326" s="9">
        <v>3085</v>
      </c>
      <c r="B326" s="10" t="s">
        <v>1255</v>
      </c>
      <c r="C326" s="11">
        <v>0.09</v>
      </c>
      <c r="D326" s="12" t="s">
        <v>1615</v>
      </c>
      <c r="E326" s="13"/>
    </row>
    <row r="327" spans="1:5">
      <c r="A327" s="9">
        <v>3087</v>
      </c>
      <c r="B327" s="10" t="s">
        <v>1256</v>
      </c>
      <c r="C327" s="11">
        <v>0.09</v>
      </c>
      <c r="D327" s="12" t="s">
        <v>1615</v>
      </c>
      <c r="E327" s="13"/>
    </row>
    <row r="328" spans="1:6">
      <c r="A328" s="9">
        <v>3088</v>
      </c>
      <c r="B328" s="10" t="s">
        <v>1257</v>
      </c>
      <c r="C328" s="11">
        <v>0</v>
      </c>
      <c r="D328" s="36" t="s">
        <v>1549</v>
      </c>
      <c r="E328" s="36" t="s">
        <v>1549</v>
      </c>
      <c r="F328" s="14" t="s">
        <v>1550</v>
      </c>
    </row>
    <row r="329" spans="1:5">
      <c r="A329" s="9">
        <v>3091</v>
      </c>
      <c r="B329" s="10" t="s">
        <v>1258</v>
      </c>
      <c r="C329" s="11">
        <v>0.09</v>
      </c>
      <c r="D329" s="12" t="s">
        <v>1615</v>
      </c>
      <c r="E329" s="13" t="s">
        <v>1075</v>
      </c>
    </row>
    <row r="330" spans="1:5">
      <c r="A330" s="9">
        <v>3092</v>
      </c>
      <c r="B330" s="10" t="s">
        <v>1259</v>
      </c>
      <c r="C330" s="11">
        <v>0.09</v>
      </c>
      <c r="D330" s="12" t="s">
        <v>1615</v>
      </c>
      <c r="E330" s="13" t="s">
        <v>1075</v>
      </c>
    </row>
    <row r="331" spans="1:5">
      <c r="A331" s="9">
        <v>3094</v>
      </c>
      <c r="B331" s="10" t="s">
        <v>1260</v>
      </c>
      <c r="C331" s="11">
        <v>0.09</v>
      </c>
      <c r="D331" s="12" t="s">
        <v>1615</v>
      </c>
      <c r="E331" s="13" t="s">
        <v>1075</v>
      </c>
    </row>
    <row r="332" spans="1:6">
      <c r="A332" s="9">
        <v>3095</v>
      </c>
      <c r="B332" s="10" t="s">
        <v>1261</v>
      </c>
      <c r="C332" s="11">
        <v>0</v>
      </c>
      <c r="D332" s="36" t="s">
        <v>1549</v>
      </c>
      <c r="E332" s="36" t="s">
        <v>1549</v>
      </c>
      <c r="F332" s="14" t="s">
        <v>1550</v>
      </c>
    </row>
    <row r="333" spans="1:5">
      <c r="A333" s="9">
        <v>3098</v>
      </c>
      <c r="B333" s="10" t="s">
        <v>1262</v>
      </c>
      <c r="C333" s="11">
        <v>0.09</v>
      </c>
      <c r="D333" s="12" t="s">
        <v>1615</v>
      </c>
      <c r="E333" s="13" t="s">
        <v>1075</v>
      </c>
    </row>
    <row r="334" spans="1:5">
      <c r="A334" s="9">
        <v>3099</v>
      </c>
      <c r="B334" s="10" t="s">
        <v>1263</v>
      </c>
      <c r="C334" s="11">
        <v>0.09</v>
      </c>
      <c r="D334" s="12" t="s">
        <v>1615</v>
      </c>
      <c r="E334" s="13" t="s">
        <v>1075</v>
      </c>
    </row>
    <row r="335" spans="1:5">
      <c r="A335" s="9">
        <v>3101</v>
      </c>
      <c r="B335" s="10" t="s">
        <v>1264</v>
      </c>
      <c r="C335" s="11">
        <v>0.09</v>
      </c>
      <c r="D335" s="12" t="s">
        <v>1615</v>
      </c>
      <c r="E335" s="13" t="s">
        <v>1075</v>
      </c>
    </row>
    <row r="336" spans="1:6">
      <c r="A336" s="9">
        <v>3102</v>
      </c>
      <c r="B336" s="10" t="s">
        <v>1265</v>
      </c>
      <c r="C336" s="11">
        <v>0</v>
      </c>
      <c r="D336" s="36" t="s">
        <v>1549</v>
      </c>
      <c r="E336" s="36" t="s">
        <v>1549</v>
      </c>
      <c r="F336" s="14" t="s">
        <v>1550</v>
      </c>
    </row>
    <row r="337" spans="1:5">
      <c r="A337" s="9">
        <v>3104</v>
      </c>
      <c r="B337" s="10" t="s">
        <v>1266</v>
      </c>
      <c r="C337" s="11">
        <v>0.09</v>
      </c>
      <c r="D337" s="12" t="s">
        <v>1615</v>
      </c>
      <c r="E337" s="13" t="s">
        <v>1075</v>
      </c>
    </row>
    <row r="338" spans="1:5">
      <c r="A338" s="9">
        <v>3106</v>
      </c>
      <c r="B338" s="10" t="s">
        <v>1267</v>
      </c>
      <c r="C338" s="11">
        <v>0.09</v>
      </c>
      <c r="D338" s="12" t="s">
        <v>1615</v>
      </c>
      <c r="E338" s="13"/>
    </row>
    <row r="339" spans="1:6">
      <c r="A339" s="9">
        <v>3107</v>
      </c>
      <c r="B339" s="10" t="s">
        <v>1268</v>
      </c>
      <c r="C339" s="11">
        <v>0</v>
      </c>
      <c r="D339" s="36" t="s">
        <v>1549</v>
      </c>
      <c r="E339" s="36" t="s">
        <v>1549</v>
      </c>
      <c r="F339" s="14" t="s">
        <v>1550</v>
      </c>
    </row>
    <row r="340" spans="1:5">
      <c r="A340" s="9">
        <v>3108</v>
      </c>
      <c r="B340" s="10" t="s">
        <v>1269</v>
      </c>
      <c r="C340" s="31">
        <v>0.09</v>
      </c>
      <c r="D340" s="32" t="s">
        <v>1615</v>
      </c>
      <c r="E340" s="30" t="s">
        <v>1075</v>
      </c>
    </row>
    <row r="341" spans="1:5">
      <c r="A341" s="9">
        <v>3109</v>
      </c>
      <c r="B341" s="10" t="s">
        <v>1270</v>
      </c>
      <c r="C341" s="11">
        <v>0.09</v>
      </c>
      <c r="D341" s="12" t="s">
        <v>1615</v>
      </c>
      <c r="E341" s="13" t="s">
        <v>1075</v>
      </c>
    </row>
    <row r="342" ht="31.5" spans="1:6">
      <c r="A342" s="9">
        <v>3110</v>
      </c>
      <c r="B342" s="10" t="s">
        <v>1272</v>
      </c>
      <c r="C342" s="11" t="s">
        <v>1271</v>
      </c>
      <c r="D342" s="12" t="s">
        <v>1636</v>
      </c>
      <c r="E342" s="36" t="s">
        <v>1637</v>
      </c>
      <c r="F342" s="14" t="s">
        <v>1550</v>
      </c>
    </row>
    <row r="343" spans="1:5">
      <c r="A343" s="9">
        <v>1952</v>
      </c>
      <c r="B343" s="10" t="s">
        <v>1273</v>
      </c>
      <c r="C343" s="11">
        <v>0.09</v>
      </c>
      <c r="D343" s="12" t="s">
        <v>1615</v>
      </c>
      <c r="E343" s="13"/>
    </row>
    <row r="344" spans="1:5">
      <c r="A344" s="9">
        <v>1954</v>
      </c>
      <c r="B344" s="10" t="s">
        <v>1274</v>
      </c>
      <c r="C344" s="11">
        <v>0.09</v>
      </c>
      <c r="D344" s="12" t="s">
        <v>1615</v>
      </c>
      <c r="E344" s="13"/>
    </row>
    <row r="345" ht="31.5" spans="1:6">
      <c r="A345" s="9">
        <v>1799</v>
      </c>
      <c r="B345" s="10" t="s">
        <v>1638</v>
      </c>
      <c r="C345" s="11" t="s">
        <v>1271</v>
      </c>
      <c r="D345" s="12" t="s">
        <v>1636</v>
      </c>
      <c r="E345" s="36" t="s">
        <v>1637</v>
      </c>
      <c r="F345" s="14" t="s">
        <v>1550</v>
      </c>
    </row>
    <row r="346" spans="1:5">
      <c r="A346" s="9">
        <v>1963</v>
      </c>
      <c r="B346" s="10" t="s">
        <v>1275</v>
      </c>
      <c r="C346" s="11">
        <v>0.09</v>
      </c>
      <c r="D346" s="12" t="s">
        <v>1615</v>
      </c>
      <c r="E346" s="13"/>
    </row>
    <row r="347" ht="31.5" spans="1:6">
      <c r="A347" s="9">
        <v>1964</v>
      </c>
      <c r="B347" s="10" t="s">
        <v>1276</v>
      </c>
      <c r="C347" s="11" t="s">
        <v>1271</v>
      </c>
      <c r="D347" s="12" t="s">
        <v>1636</v>
      </c>
      <c r="E347" s="36" t="s">
        <v>1637</v>
      </c>
      <c r="F347" s="14" t="s">
        <v>1550</v>
      </c>
    </row>
    <row r="348" spans="1:5">
      <c r="A348" s="9">
        <v>1965</v>
      </c>
      <c r="B348" s="10" t="s">
        <v>1639</v>
      </c>
      <c r="C348" s="11">
        <v>0.09</v>
      </c>
      <c r="D348" s="12" t="s">
        <v>1615</v>
      </c>
      <c r="E348" s="13"/>
    </row>
    <row r="349" ht="31.5" spans="1:6">
      <c r="A349" s="9">
        <v>1955</v>
      </c>
      <c r="B349" s="10" t="s">
        <v>1277</v>
      </c>
      <c r="C349" s="11" t="s">
        <v>1271</v>
      </c>
      <c r="D349" s="12" t="s">
        <v>1636</v>
      </c>
      <c r="E349" s="36" t="s">
        <v>1637</v>
      </c>
      <c r="F349" s="14" t="s">
        <v>1550</v>
      </c>
    </row>
    <row r="350" spans="1:5">
      <c r="A350" s="9">
        <v>1714</v>
      </c>
      <c r="B350" s="10" t="s">
        <v>1640</v>
      </c>
      <c r="C350" s="11">
        <v>0.09</v>
      </c>
      <c r="D350" s="12" t="s">
        <v>1536</v>
      </c>
      <c r="E350" s="13" t="s">
        <v>1075</v>
      </c>
    </row>
    <row r="351" spans="1:5">
      <c r="A351" s="9">
        <v>1716</v>
      </c>
      <c r="B351" s="10" t="s">
        <v>1641</v>
      </c>
      <c r="C351" s="11">
        <v>0.06</v>
      </c>
      <c r="D351" s="12" t="s">
        <v>1554</v>
      </c>
      <c r="E351" s="13" t="s">
        <v>1075</v>
      </c>
    </row>
    <row r="352" spans="1:5">
      <c r="A352" s="9">
        <v>1717</v>
      </c>
      <c r="B352" s="10" t="s">
        <v>1278</v>
      </c>
      <c r="C352" s="11">
        <v>0.06</v>
      </c>
      <c r="D352" s="12" t="s">
        <v>1554</v>
      </c>
      <c r="E352" s="13" t="s">
        <v>1075</v>
      </c>
    </row>
    <row r="353" spans="1:5">
      <c r="A353" s="9">
        <v>1718</v>
      </c>
      <c r="B353" s="10" t="s">
        <v>1279</v>
      </c>
      <c r="C353" s="11">
        <v>0.06</v>
      </c>
      <c r="D353" s="12" t="s">
        <v>1554</v>
      </c>
      <c r="E353" s="13" t="s">
        <v>1075</v>
      </c>
    </row>
    <row r="354" spans="1:5">
      <c r="A354" s="15">
        <v>3172</v>
      </c>
      <c r="B354" s="16" t="s">
        <v>1280</v>
      </c>
      <c r="C354" s="17">
        <v>0.06</v>
      </c>
      <c r="D354" s="18" t="s">
        <v>1554</v>
      </c>
      <c r="E354" s="19"/>
    </row>
    <row r="355" spans="1:5">
      <c r="A355" s="9">
        <v>1719</v>
      </c>
      <c r="B355" s="10" t="s">
        <v>1642</v>
      </c>
      <c r="C355" s="11">
        <v>0.06</v>
      </c>
      <c r="D355" s="12" t="s">
        <v>1568</v>
      </c>
      <c r="E355" s="13" t="s">
        <v>1075</v>
      </c>
    </row>
    <row r="356" ht="21" spans="1:5">
      <c r="A356" s="9">
        <v>1720</v>
      </c>
      <c r="B356" s="10" t="s">
        <v>1643</v>
      </c>
      <c r="C356" s="11">
        <v>0.06</v>
      </c>
      <c r="D356" s="12" t="s">
        <v>1576</v>
      </c>
      <c r="E356" s="13" t="s">
        <v>1075</v>
      </c>
    </row>
    <row r="357" spans="1:5">
      <c r="A357" s="9">
        <v>3113</v>
      </c>
      <c r="B357" s="10" t="s">
        <v>1644</v>
      </c>
      <c r="C357" s="11">
        <v>0.06</v>
      </c>
      <c r="D357" s="12" t="s">
        <v>1612</v>
      </c>
      <c r="E357" s="13" t="s">
        <v>1075</v>
      </c>
    </row>
    <row r="358" spans="1:5">
      <c r="A358" s="9">
        <v>3115</v>
      </c>
      <c r="B358" s="10" t="s">
        <v>1281</v>
      </c>
      <c r="C358" s="11">
        <v>0.06</v>
      </c>
      <c r="D358" s="12" t="s">
        <v>1612</v>
      </c>
      <c r="E358" s="13"/>
    </row>
    <row r="359" spans="1:5">
      <c r="A359" s="9">
        <v>3116</v>
      </c>
      <c r="B359" s="10" t="s">
        <v>1282</v>
      </c>
      <c r="C359" s="11">
        <v>0.06</v>
      </c>
      <c r="D359" s="12" t="s">
        <v>1612</v>
      </c>
      <c r="E359" s="13"/>
    </row>
    <row r="360" spans="1:5">
      <c r="A360" s="9">
        <v>3117</v>
      </c>
      <c r="B360" s="10" t="s">
        <v>1283</v>
      </c>
      <c r="C360" s="11">
        <v>0.06</v>
      </c>
      <c r="D360" s="12" t="s">
        <v>1612</v>
      </c>
      <c r="E360" s="13"/>
    </row>
    <row r="361" spans="1:5">
      <c r="A361" s="9">
        <v>3118</v>
      </c>
      <c r="B361" s="10" t="s">
        <v>1645</v>
      </c>
      <c r="C361" s="11">
        <v>0.06</v>
      </c>
      <c r="D361" s="12" t="s">
        <v>1612</v>
      </c>
      <c r="E361" s="13"/>
    </row>
    <row r="362" spans="1:5">
      <c r="A362" s="9">
        <v>3119</v>
      </c>
      <c r="B362" s="10" t="s">
        <v>1646</v>
      </c>
      <c r="C362" s="11">
        <v>0.06</v>
      </c>
      <c r="D362" s="12" t="s">
        <v>1612</v>
      </c>
      <c r="E362" s="13"/>
    </row>
    <row r="363" spans="1:5">
      <c r="A363" s="9">
        <v>2550</v>
      </c>
      <c r="B363" s="10" t="s">
        <v>1284</v>
      </c>
      <c r="C363" s="11">
        <v>0.06</v>
      </c>
      <c r="D363" s="12" t="s">
        <v>1612</v>
      </c>
      <c r="E363" s="13"/>
    </row>
    <row r="364" spans="1:5">
      <c r="A364" s="9">
        <v>3123</v>
      </c>
      <c r="B364" s="10" t="s">
        <v>1285</v>
      </c>
      <c r="C364" s="11">
        <v>0.06</v>
      </c>
      <c r="D364" s="12" t="s">
        <v>1612</v>
      </c>
      <c r="E364" s="13" t="s">
        <v>1075</v>
      </c>
    </row>
    <row r="365" spans="1:5">
      <c r="A365" s="9">
        <v>3125</v>
      </c>
      <c r="B365" s="10" t="s">
        <v>1286</v>
      </c>
      <c r="C365" s="11">
        <v>0.06</v>
      </c>
      <c r="D365" s="12" t="s">
        <v>1612</v>
      </c>
      <c r="E365" s="13"/>
    </row>
    <row r="366" spans="1:5">
      <c r="A366" s="9">
        <v>3126</v>
      </c>
      <c r="B366" s="10" t="s">
        <v>1287</v>
      </c>
      <c r="C366" s="11">
        <v>0.06</v>
      </c>
      <c r="D366" s="12" t="s">
        <v>1612</v>
      </c>
      <c r="E366" s="13"/>
    </row>
    <row r="367" spans="1:5">
      <c r="A367" s="9">
        <v>3127</v>
      </c>
      <c r="B367" s="10" t="s">
        <v>1288</v>
      </c>
      <c r="C367" s="11">
        <v>0.06</v>
      </c>
      <c r="D367" s="12" t="s">
        <v>1612</v>
      </c>
      <c r="E367" s="13"/>
    </row>
    <row r="368" spans="1:5">
      <c r="A368" s="9">
        <v>3128</v>
      </c>
      <c r="B368" s="10" t="s">
        <v>1289</v>
      </c>
      <c r="C368" s="11">
        <v>0.06</v>
      </c>
      <c r="D368" s="12" t="s">
        <v>1612</v>
      </c>
      <c r="E368" s="13"/>
    </row>
    <row r="369" spans="1:5">
      <c r="A369" s="9">
        <v>3129</v>
      </c>
      <c r="B369" s="10" t="s">
        <v>1290</v>
      </c>
      <c r="C369" s="11">
        <v>0.06</v>
      </c>
      <c r="D369" s="12" t="s">
        <v>1612</v>
      </c>
      <c r="E369" s="13"/>
    </row>
    <row r="370" spans="1:5">
      <c r="A370" s="9">
        <v>2891</v>
      </c>
      <c r="B370" s="10" t="s">
        <v>1647</v>
      </c>
      <c r="C370" s="11">
        <v>0.06</v>
      </c>
      <c r="D370" s="12" t="s">
        <v>1612</v>
      </c>
      <c r="E370" s="13"/>
    </row>
    <row r="371" ht="21" spans="1:5">
      <c r="A371" s="9">
        <v>1726</v>
      </c>
      <c r="B371" s="10" t="s">
        <v>1648</v>
      </c>
      <c r="C371" s="11">
        <v>0.06</v>
      </c>
      <c r="D371" s="12" t="s">
        <v>1576</v>
      </c>
      <c r="E371" s="13" t="s">
        <v>1075</v>
      </c>
    </row>
    <row r="372" ht="21" spans="1:5">
      <c r="A372" s="9">
        <v>1727</v>
      </c>
      <c r="B372" s="10" t="s">
        <v>1291</v>
      </c>
      <c r="C372" s="11">
        <v>0.06</v>
      </c>
      <c r="D372" s="12" t="s">
        <v>1576</v>
      </c>
      <c r="E372" s="13" t="s">
        <v>1075</v>
      </c>
    </row>
    <row r="373" ht="21" spans="1:5">
      <c r="A373" s="9">
        <v>1569</v>
      </c>
      <c r="B373" s="10" t="s">
        <v>1649</v>
      </c>
      <c r="C373" s="31">
        <v>0.06</v>
      </c>
      <c r="D373" s="32" t="s">
        <v>1576</v>
      </c>
      <c r="E373" s="30" t="s">
        <v>1075</v>
      </c>
    </row>
    <row r="374" ht="21" spans="1:5">
      <c r="A374" s="9">
        <v>2769</v>
      </c>
      <c r="B374" s="10" t="s">
        <v>1292</v>
      </c>
      <c r="C374" s="11">
        <v>0.06</v>
      </c>
      <c r="D374" s="12" t="s">
        <v>1576</v>
      </c>
      <c r="E374" s="13"/>
    </row>
    <row r="375" ht="21" spans="1:5">
      <c r="A375" s="9">
        <v>2770</v>
      </c>
      <c r="B375" s="10" t="s">
        <v>1293</v>
      </c>
      <c r="C375" s="11">
        <v>0.06</v>
      </c>
      <c r="D375" s="12" t="s">
        <v>1576</v>
      </c>
      <c r="E375" s="13"/>
    </row>
    <row r="376" spans="1:5">
      <c r="A376" s="9">
        <v>1818</v>
      </c>
      <c r="B376" s="10" t="s">
        <v>1650</v>
      </c>
      <c r="C376" s="11">
        <v>0.06</v>
      </c>
      <c r="D376" s="12" t="s">
        <v>1612</v>
      </c>
      <c r="E376" s="13"/>
    </row>
    <row r="377" ht="21" spans="1:5">
      <c r="A377" s="9">
        <v>1966</v>
      </c>
      <c r="B377" s="10" t="s">
        <v>1651</v>
      </c>
      <c r="C377" s="11">
        <v>0.06</v>
      </c>
      <c r="D377" s="12" t="s">
        <v>1576</v>
      </c>
      <c r="E377" s="13"/>
    </row>
    <row r="378" ht="21" spans="1:5">
      <c r="A378" s="9">
        <v>2365</v>
      </c>
      <c r="B378" s="10" t="s">
        <v>1294</v>
      </c>
      <c r="C378" s="11">
        <v>0.06</v>
      </c>
      <c r="D378" s="12" t="s">
        <v>1576</v>
      </c>
      <c r="E378" s="13"/>
    </row>
    <row r="379" ht="21" spans="1:5">
      <c r="A379" s="9">
        <v>2771</v>
      </c>
      <c r="B379" s="10" t="s">
        <v>1652</v>
      </c>
      <c r="C379" s="11">
        <v>0.06</v>
      </c>
      <c r="D379" s="12" t="s">
        <v>1576</v>
      </c>
      <c r="E379" s="13"/>
    </row>
    <row r="380" spans="1:5">
      <c r="A380" s="9">
        <v>2693</v>
      </c>
      <c r="B380" s="10" t="s">
        <v>1653</v>
      </c>
      <c r="C380" s="11">
        <v>0.06</v>
      </c>
      <c r="D380" s="12" t="s">
        <v>1612</v>
      </c>
      <c r="E380" s="13"/>
    </row>
    <row r="381" spans="1:5">
      <c r="A381" s="9">
        <v>2695</v>
      </c>
      <c r="B381" s="10" t="s">
        <v>1295</v>
      </c>
      <c r="C381" s="11">
        <v>0.06</v>
      </c>
      <c r="D381" s="12" t="s">
        <v>1612</v>
      </c>
      <c r="E381" s="13"/>
    </row>
    <row r="382" spans="1:5">
      <c r="A382" s="9">
        <v>2333</v>
      </c>
      <c r="B382" s="10" t="s">
        <v>752</v>
      </c>
      <c r="C382" s="11">
        <v>0.06</v>
      </c>
      <c r="D382" s="12" t="s">
        <v>1612</v>
      </c>
      <c r="E382" s="13"/>
    </row>
    <row r="383" spans="1:5">
      <c r="A383" s="15">
        <v>3231</v>
      </c>
      <c r="B383" s="16" t="s">
        <v>783</v>
      </c>
      <c r="C383" s="37">
        <v>0.06</v>
      </c>
      <c r="D383" s="34" t="s">
        <v>1612</v>
      </c>
      <c r="E383" s="38"/>
    </row>
    <row r="384" spans="1:5">
      <c r="A384" s="15">
        <v>3232</v>
      </c>
      <c r="B384" s="16" t="s">
        <v>1296</v>
      </c>
      <c r="C384" s="37">
        <v>0.06</v>
      </c>
      <c r="D384" s="34" t="s">
        <v>1612</v>
      </c>
      <c r="E384" s="38"/>
    </row>
    <row r="385" spans="1:5">
      <c r="A385" s="9">
        <v>2339</v>
      </c>
      <c r="B385" s="10" t="s">
        <v>1297</v>
      </c>
      <c r="C385" s="11">
        <v>0.06</v>
      </c>
      <c r="D385" s="12" t="s">
        <v>1612</v>
      </c>
      <c r="E385" s="13"/>
    </row>
    <row r="386" spans="1:5">
      <c r="A386" s="9">
        <v>2340</v>
      </c>
      <c r="B386" s="10" t="s">
        <v>737</v>
      </c>
      <c r="C386" s="11">
        <v>0.06</v>
      </c>
      <c r="D386" s="12" t="s">
        <v>1612</v>
      </c>
      <c r="E386" s="13"/>
    </row>
    <row r="387" spans="1:5">
      <c r="A387" s="9">
        <v>2342</v>
      </c>
      <c r="B387" s="10" t="s">
        <v>1298</v>
      </c>
      <c r="C387" s="11">
        <v>0.06</v>
      </c>
      <c r="D387" s="12" t="s">
        <v>1612</v>
      </c>
      <c r="E387" s="12"/>
    </row>
    <row r="388" spans="1:5">
      <c r="A388" s="9">
        <v>2343</v>
      </c>
      <c r="B388" s="10" t="s">
        <v>1299</v>
      </c>
      <c r="C388" s="11">
        <v>0.06</v>
      </c>
      <c r="D388" s="12" t="s">
        <v>1612</v>
      </c>
      <c r="E388" s="12"/>
    </row>
    <row r="389" spans="1:5">
      <c r="A389" s="44">
        <v>2344</v>
      </c>
      <c r="B389" s="45" t="s">
        <v>1300</v>
      </c>
      <c r="C389" s="46">
        <v>0.06</v>
      </c>
      <c r="D389" s="47" t="s">
        <v>1612</v>
      </c>
      <c r="E389" s="48"/>
    </row>
    <row r="390" spans="1:5">
      <c r="A390" s="20">
        <v>2345</v>
      </c>
      <c r="B390" s="21" t="s">
        <v>796</v>
      </c>
      <c r="C390" s="22">
        <v>0.06</v>
      </c>
      <c r="D390" s="28" t="s">
        <v>1612</v>
      </c>
      <c r="E390" s="29"/>
    </row>
    <row r="391" spans="1:5">
      <c r="A391" s="9">
        <v>2346</v>
      </c>
      <c r="B391" s="10" t="s">
        <v>1301</v>
      </c>
      <c r="C391" s="11">
        <v>0.06</v>
      </c>
      <c r="D391" s="12" t="s">
        <v>1612</v>
      </c>
      <c r="E391" s="13"/>
    </row>
    <row r="392" spans="1:5">
      <c r="A392" s="9">
        <v>2347</v>
      </c>
      <c r="B392" s="10" t="s">
        <v>768</v>
      </c>
      <c r="C392" s="11">
        <v>0.06</v>
      </c>
      <c r="D392" s="12" t="s">
        <v>1612</v>
      </c>
      <c r="E392" s="13"/>
    </row>
    <row r="393" spans="1:5">
      <c r="A393" s="9">
        <v>1798</v>
      </c>
      <c r="B393" s="10" t="s">
        <v>850</v>
      </c>
      <c r="C393" s="11">
        <v>0.06</v>
      </c>
      <c r="D393" s="12" t="s">
        <v>1612</v>
      </c>
      <c r="E393" s="13"/>
    </row>
    <row r="394" spans="1:5">
      <c r="A394" s="9">
        <v>2965</v>
      </c>
      <c r="B394" s="10" t="s">
        <v>1302</v>
      </c>
      <c r="C394" s="11">
        <v>0.06</v>
      </c>
      <c r="D394" s="12" t="s">
        <v>1612</v>
      </c>
      <c r="E394" s="13"/>
    </row>
    <row r="395" spans="1:5">
      <c r="A395" s="9">
        <v>2966</v>
      </c>
      <c r="B395" s="10" t="s">
        <v>1303</v>
      </c>
      <c r="C395" s="11">
        <v>0.06</v>
      </c>
      <c r="D395" s="12" t="s">
        <v>1612</v>
      </c>
      <c r="E395" s="13"/>
    </row>
    <row r="396" spans="1:5">
      <c r="A396" s="20">
        <v>2386</v>
      </c>
      <c r="B396" s="21" t="s">
        <v>1654</v>
      </c>
      <c r="C396" s="22">
        <v>0.06</v>
      </c>
      <c r="D396" s="28" t="s">
        <v>1612</v>
      </c>
      <c r="E396" s="29"/>
    </row>
    <row r="397" spans="1:5">
      <c r="A397" s="9">
        <v>2352</v>
      </c>
      <c r="B397" s="10" t="s">
        <v>806</v>
      </c>
      <c r="C397" s="11">
        <v>0.06</v>
      </c>
      <c r="D397" s="12" t="s">
        <v>1612</v>
      </c>
      <c r="E397" s="13"/>
    </row>
    <row r="398" spans="1:5">
      <c r="A398" s="9">
        <v>2353</v>
      </c>
      <c r="B398" s="10" t="s">
        <v>773</v>
      </c>
      <c r="C398" s="11">
        <v>0.06</v>
      </c>
      <c r="D398" s="12" t="s">
        <v>1612</v>
      </c>
      <c r="E398" s="13"/>
    </row>
    <row r="399" spans="1:5">
      <c r="A399" s="9">
        <v>2354</v>
      </c>
      <c r="B399" s="10" t="s">
        <v>1304</v>
      </c>
      <c r="C399" s="11">
        <v>0.06</v>
      </c>
      <c r="D399" s="12" t="s">
        <v>1612</v>
      </c>
      <c r="E399" s="13"/>
    </row>
    <row r="400" spans="1:5">
      <c r="A400" s="9">
        <v>2355</v>
      </c>
      <c r="B400" s="10" t="s">
        <v>1305</v>
      </c>
      <c r="C400" s="11">
        <v>0.06</v>
      </c>
      <c r="D400" s="12" t="s">
        <v>1612</v>
      </c>
      <c r="E400" s="13"/>
    </row>
    <row r="401" spans="1:5">
      <c r="A401" s="15">
        <v>3173</v>
      </c>
      <c r="B401" s="16" t="s">
        <v>1306</v>
      </c>
      <c r="C401" s="17">
        <v>0.06</v>
      </c>
      <c r="D401" s="18" t="s">
        <v>1612</v>
      </c>
      <c r="E401" s="19"/>
    </row>
    <row r="402" spans="1:5">
      <c r="A402" s="15">
        <v>3174</v>
      </c>
      <c r="B402" s="16" t="s">
        <v>1307</v>
      </c>
      <c r="C402" s="17">
        <v>0.06</v>
      </c>
      <c r="D402" s="18" t="s">
        <v>1612</v>
      </c>
      <c r="E402" s="19"/>
    </row>
    <row r="403" spans="1:5">
      <c r="A403" s="20">
        <v>3138</v>
      </c>
      <c r="B403" s="21" t="s">
        <v>1308</v>
      </c>
      <c r="C403" s="22">
        <v>0.06</v>
      </c>
      <c r="D403" s="28" t="s">
        <v>1612</v>
      </c>
      <c r="E403" s="29"/>
    </row>
    <row r="404" spans="1:5">
      <c r="A404" s="9">
        <v>2997</v>
      </c>
      <c r="B404" s="10" t="s">
        <v>650</v>
      </c>
      <c r="C404" s="11">
        <v>0.06</v>
      </c>
      <c r="D404" s="12" t="s">
        <v>1612</v>
      </c>
      <c r="E404" s="13"/>
    </row>
    <row r="405" spans="1:5">
      <c r="A405" s="9">
        <v>2998</v>
      </c>
      <c r="B405" s="10" t="s">
        <v>1309</v>
      </c>
      <c r="C405" s="11">
        <v>0.06</v>
      </c>
      <c r="D405" s="12" t="s">
        <v>1612</v>
      </c>
      <c r="E405" s="13"/>
    </row>
    <row r="406" spans="1:5">
      <c r="A406" s="15">
        <v>3175</v>
      </c>
      <c r="B406" s="16" t="s">
        <v>1310</v>
      </c>
      <c r="C406" s="17">
        <v>0.06</v>
      </c>
      <c r="D406" s="18" t="s">
        <v>1612</v>
      </c>
      <c r="E406" s="19"/>
    </row>
    <row r="407" spans="1:5">
      <c r="A407" s="15">
        <v>3176</v>
      </c>
      <c r="B407" s="16" t="s">
        <v>1311</v>
      </c>
      <c r="C407" s="17">
        <v>0.06</v>
      </c>
      <c r="D407" s="18" t="s">
        <v>1612</v>
      </c>
      <c r="E407" s="19"/>
    </row>
    <row r="408" spans="1:5">
      <c r="A408" s="9">
        <v>1940</v>
      </c>
      <c r="B408" s="10" t="s">
        <v>856</v>
      </c>
      <c r="C408" s="11">
        <v>0.06</v>
      </c>
      <c r="D408" s="12" t="s">
        <v>1612</v>
      </c>
      <c r="E408" s="13"/>
    </row>
    <row r="409" spans="1:5">
      <c r="A409" s="9">
        <v>3151</v>
      </c>
      <c r="B409" s="10" t="s">
        <v>1312</v>
      </c>
      <c r="C409" s="11">
        <v>0.06</v>
      </c>
      <c r="D409" s="12" t="s">
        <v>1612</v>
      </c>
      <c r="E409" s="13"/>
    </row>
    <row r="410" spans="1:5">
      <c r="A410" s="9">
        <v>3152</v>
      </c>
      <c r="B410" s="10" t="s">
        <v>1313</v>
      </c>
      <c r="C410" s="11">
        <v>0.06</v>
      </c>
      <c r="D410" s="12" t="s">
        <v>1612</v>
      </c>
      <c r="E410" s="13"/>
    </row>
    <row r="411" spans="1:5">
      <c r="A411" s="15">
        <v>3177</v>
      </c>
      <c r="B411" s="16" t="s">
        <v>1314</v>
      </c>
      <c r="C411" s="17">
        <v>0.06</v>
      </c>
      <c r="D411" s="18" t="s">
        <v>1612</v>
      </c>
      <c r="E411" s="49"/>
    </row>
    <row r="412" spans="1:5">
      <c r="A412" s="9">
        <v>2375</v>
      </c>
      <c r="B412" s="10" t="s">
        <v>1315</v>
      </c>
      <c r="C412" s="11">
        <v>0.06</v>
      </c>
      <c r="D412" s="12" t="s">
        <v>1612</v>
      </c>
      <c r="E412" s="13"/>
    </row>
    <row r="413" spans="1:5">
      <c r="A413" s="9">
        <v>2376</v>
      </c>
      <c r="B413" s="10" t="s">
        <v>1316</v>
      </c>
      <c r="C413" s="11">
        <v>0.06</v>
      </c>
      <c r="D413" s="12" t="s">
        <v>1612</v>
      </c>
      <c r="E413" s="13"/>
    </row>
    <row r="414" spans="1:5">
      <c r="A414" s="9">
        <v>1797</v>
      </c>
      <c r="B414" s="10" t="s">
        <v>814</v>
      </c>
      <c r="C414" s="11">
        <v>0.06</v>
      </c>
      <c r="D414" s="12" t="s">
        <v>1612</v>
      </c>
      <c r="E414" s="13"/>
    </row>
    <row r="415" spans="1:5">
      <c r="A415" s="15">
        <v>3178</v>
      </c>
      <c r="B415" s="16" t="s">
        <v>1655</v>
      </c>
      <c r="C415" s="17">
        <v>0.06</v>
      </c>
      <c r="D415" s="18" t="s">
        <v>1612</v>
      </c>
      <c r="E415" s="19"/>
    </row>
    <row r="416" spans="1:5">
      <c r="A416" s="15">
        <v>3179</v>
      </c>
      <c r="B416" s="16" t="s">
        <v>1317</v>
      </c>
      <c r="C416" s="17">
        <v>0.06</v>
      </c>
      <c r="D416" s="18" t="s">
        <v>1612</v>
      </c>
      <c r="E416" s="19"/>
    </row>
    <row r="417" spans="1:5">
      <c r="A417" s="9">
        <v>2696</v>
      </c>
      <c r="B417" s="10" t="s">
        <v>1318</v>
      </c>
      <c r="C417" s="11">
        <v>0.06</v>
      </c>
      <c r="D417" s="12" t="s">
        <v>1612</v>
      </c>
      <c r="E417" s="13"/>
    </row>
    <row r="418" spans="1:5">
      <c r="A418" s="9">
        <v>2698</v>
      </c>
      <c r="B418" s="10" t="s">
        <v>1319</v>
      </c>
      <c r="C418" s="11">
        <v>0.06</v>
      </c>
      <c r="D418" s="12" t="s">
        <v>1612</v>
      </c>
      <c r="E418" s="13"/>
    </row>
    <row r="419" spans="1:5">
      <c r="A419" s="9">
        <v>2582</v>
      </c>
      <c r="B419" s="10" t="s">
        <v>1320</v>
      </c>
      <c r="C419" s="11">
        <v>0.06</v>
      </c>
      <c r="D419" s="12" t="s">
        <v>1612</v>
      </c>
      <c r="E419" s="13"/>
    </row>
    <row r="420" spans="1:5">
      <c r="A420" s="15">
        <v>3233</v>
      </c>
      <c r="B420" s="16" t="s">
        <v>1321</v>
      </c>
      <c r="C420" s="37">
        <v>0.06</v>
      </c>
      <c r="D420" s="34" t="s">
        <v>1612</v>
      </c>
      <c r="E420" s="38"/>
    </row>
    <row r="421" spans="1:5">
      <c r="A421" s="15">
        <v>3234</v>
      </c>
      <c r="B421" s="16" t="s">
        <v>1322</v>
      </c>
      <c r="C421" s="37">
        <v>0.06</v>
      </c>
      <c r="D421" s="34" t="s">
        <v>1612</v>
      </c>
      <c r="E421" s="38"/>
    </row>
    <row r="422" spans="1:5">
      <c r="A422" s="9">
        <v>2590</v>
      </c>
      <c r="B422" s="10" t="s">
        <v>1323</v>
      </c>
      <c r="C422" s="11">
        <v>0.06</v>
      </c>
      <c r="D422" s="12" t="s">
        <v>1612</v>
      </c>
      <c r="E422" s="13"/>
    </row>
    <row r="423" spans="1:5">
      <c r="A423" s="9">
        <v>2591</v>
      </c>
      <c r="B423" s="10" t="s">
        <v>1324</v>
      </c>
      <c r="C423" s="11">
        <v>0.06</v>
      </c>
      <c r="D423" s="12" t="s">
        <v>1612</v>
      </c>
      <c r="E423" s="13"/>
    </row>
    <row r="424" spans="1:5">
      <c r="A424" s="9">
        <v>2593</v>
      </c>
      <c r="B424" s="10" t="s">
        <v>1325</v>
      </c>
      <c r="C424" s="11">
        <v>0.06</v>
      </c>
      <c r="D424" s="12" t="s">
        <v>1612</v>
      </c>
      <c r="E424" s="13"/>
    </row>
    <row r="425" spans="1:5">
      <c r="A425" s="9">
        <v>2594</v>
      </c>
      <c r="B425" s="10" t="s">
        <v>1326</v>
      </c>
      <c r="C425" s="11">
        <v>0.06</v>
      </c>
      <c r="D425" s="12" t="s">
        <v>1612</v>
      </c>
      <c r="E425" s="13"/>
    </row>
    <row r="426" spans="1:5">
      <c r="A426" s="44">
        <v>2597</v>
      </c>
      <c r="B426" s="45" t="s">
        <v>1327</v>
      </c>
      <c r="C426" s="46">
        <v>0.06</v>
      </c>
      <c r="D426" s="47" t="s">
        <v>1612</v>
      </c>
      <c r="E426" s="48"/>
    </row>
    <row r="427" spans="1:5">
      <c r="A427" s="20">
        <v>2598</v>
      </c>
      <c r="B427" s="21" t="s">
        <v>1328</v>
      </c>
      <c r="C427" s="22">
        <v>0.06</v>
      </c>
      <c r="D427" s="28" t="s">
        <v>1612</v>
      </c>
      <c r="E427" s="29"/>
    </row>
    <row r="428" spans="1:5">
      <c r="A428" s="9">
        <v>2600</v>
      </c>
      <c r="B428" s="10" t="s">
        <v>1329</v>
      </c>
      <c r="C428" s="11">
        <v>0.06</v>
      </c>
      <c r="D428" s="12" t="s">
        <v>1612</v>
      </c>
      <c r="E428" s="13"/>
    </row>
    <row r="429" spans="1:5">
      <c r="A429" s="9">
        <v>2601</v>
      </c>
      <c r="B429" s="10" t="s">
        <v>1330</v>
      </c>
      <c r="C429" s="11">
        <v>0.06</v>
      </c>
      <c r="D429" s="12" t="s">
        <v>1612</v>
      </c>
      <c r="E429" s="13"/>
    </row>
    <row r="430" spans="1:5">
      <c r="A430" s="9">
        <v>2606</v>
      </c>
      <c r="B430" s="10" t="s">
        <v>1331</v>
      </c>
      <c r="C430" s="11">
        <v>0.06</v>
      </c>
      <c r="D430" s="12" t="s">
        <v>1612</v>
      </c>
      <c r="E430" s="13"/>
    </row>
    <row r="431" spans="1:5">
      <c r="A431" s="9">
        <v>2967</v>
      </c>
      <c r="B431" s="10" t="s">
        <v>119</v>
      </c>
      <c r="C431" s="11">
        <v>0.06</v>
      </c>
      <c r="D431" s="12" t="s">
        <v>1612</v>
      </c>
      <c r="E431" s="13"/>
    </row>
    <row r="432" spans="1:5">
      <c r="A432" s="9">
        <v>2968</v>
      </c>
      <c r="B432" s="10" t="s">
        <v>1332</v>
      </c>
      <c r="C432" s="11">
        <v>0.06</v>
      </c>
      <c r="D432" s="12" t="s">
        <v>1612</v>
      </c>
      <c r="E432" s="13"/>
    </row>
    <row r="433" spans="1:5">
      <c r="A433" s="20">
        <v>2666</v>
      </c>
      <c r="B433" s="21" t="s">
        <v>1333</v>
      </c>
      <c r="C433" s="22">
        <v>0.06</v>
      </c>
      <c r="D433" s="28" t="s">
        <v>1612</v>
      </c>
      <c r="E433" s="29"/>
    </row>
    <row r="434" spans="1:5">
      <c r="A434" s="9">
        <v>2612</v>
      </c>
      <c r="B434" s="10" t="s">
        <v>1334</v>
      </c>
      <c r="C434" s="11">
        <v>0.06</v>
      </c>
      <c r="D434" s="12" t="s">
        <v>1612</v>
      </c>
      <c r="E434" s="13"/>
    </row>
    <row r="435" spans="1:5">
      <c r="A435" s="9">
        <v>2613</v>
      </c>
      <c r="B435" s="10" t="s">
        <v>1335</v>
      </c>
      <c r="C435" s="11">
        <v>0.06</v>
      </c>
      <c r="D435" s="12" t="s">
        <v>1612</v>
      </c>
      <c r="E435" s="13"/>
    </row>
    <row r="436" spans="1:5">
      <c r="A436" s="9">
        <v>2615</v>
      </c>
      <c r="B436" s="10" t="s">
        <v>1336</v>
      </c>
      <c r="C436" s="11">
        <v>0.06</v>
      </c>
      <c r="D436" s="12" t="s">
        <v>1612</v>
      </c>
      <c r="E436" s="13"/>
    </row>
    <row r="437" spans="1:5">
      <c r="A437" s="9">
        <v>2616</v>
      </c>
      <c r="B437" s="10" t="s">
        <v>1337</v>
      </c>
      <c r="C437" s="11">
        <v>0.06</v>
      </c>
      <c r="D437" s="12" t="s">
        <v>1612</v>
      </c>
      <c r="E437" s="13"/>
    </row>
    <row r="438" spans="1:5">
      <c r="A438" s="15">
        <v>3180</v>
      </c>
      <c r="B438" s="16" t="s">
        <v>1338</v>
      </c>
      <c r="C438" s="17">
        <v>0.06</v>
      </c>
      <c r="D438" s="18" t="s">
        <v>1612</v>
      </c>
      <c r="E438" s="19"/>
    </row>
    <row r="439" spans="1:5">
      <c r="A439" s="15">
        <v>3181</v>
      </c>
      <c r="B439" s="16" t="s">
        <v>1339</v>
      </c>
      <c r="C439" s="17">
        <v>0.06</v>
      </c>
      <c r="D439" s="18" t="s">
        <v>1612</v>
      </c>
      <c r="E439" s="19"/>
    </row>
    <row r="440" spans="1:5">
      <c r="A440" s="20">
        <v>3139</v>
      </c>
      <c r="B440" s="21" t="s">
        <v>1340</v>
      </c>
      <c r="C440" s="22">
        <v>0.06</v>
      </c>
      <c r="D440" s="28" t="s">
        <v>1612</v>
      </c>
      <c r="E440" s="29"/>
    </row>
    <row r="441" spans="1:5">
      <c r="A441" s="9">
        <v>3141</v>
      </c>
      <c r="B441" s="10" t="s">
        <v>1341</v>
      </c>
      <c r="C441" s="11">
        <v>0.06</v>
      </c>
      <c r="D441" s="12" t="s">
        <v>1612</v>
      </c>
      <c r="E441" s="13"/>
    </row>
    <row r="442" spans="1:5">
      <c r="A442" s="9">
        <v>3142</v>
      </c>
      <c r="B442" s="10" t="s">
        <v>1342</v>
      </c>
      <c r="C442" s="11">
        <v>0.06</v>
      </c>
      <c r="D442" s="12" t="s">
        <v>1612</v>
      </c>
      <c r="E442" s="13"/>
    </row>
    <row r="443" spans="1:5">
      <c r="A443" s="15">
        <v>3182</v>
      </c>
      <c r="B443" s="16" t="s">
        <v>1343</v>
      </c>
      <c r="C443" s="17">
        <v>0.06</v>
      </c>
      <c r="D443" s="18" t="s">
        <v>1612</v>
      </c>
      <c r="E443" s="19"/>
    </row>
    <row r="444" spans="1:5">
      <c r="A444" s="15">
        <v>3183</v>
      </c>
      <c r="B444" s="16" t="s">
        <v>1344</v>
      </c>
      <c r="C444" s="17">
        <v>0.06</v>
      </c>
      <c r="D444" s="18" t="s">
        <v>1612</v>
      </c>
      <c r="E444" s="19"/>
    </row>
    <row r="445" spans="1:5">
      <c r="A445" s="9">
        <v>2756</v>
      </c>
      <c r="B445" s="10" t="s">
        <v>1345</v>
      </c>
      <c r="C445" s="11">
        <v>0.06</v>
      </c>
      <c r="D445" s="12" t="s">
        <v>1612</v>
      </c>
      <c r="E445" s="13"/>
    </row>
    <row r="446" spans="1:5">
      <c r="A446" s="9">
        <v>3153</v>
      </c>
      <c r="B446" s="10" t="s">
        <v>1346</v>
      </c>
      <c r="C446" s="11">
        <v>0.06</v>
      </c>
      <c r="D446" s="12" t="s">
        <v>1612</v>
      </c>
      <c r="E446" s="13"/>
    </row>
    <row r="447" spans="1:5">
      <c r="A447" s="9">
        <v>3154</v>
      </c>
      <c r="B447" s="10" t="s">
        <v>1347</v>
      </c>
      <c r="C447" s="11">
        <v>0.06</v>
      </c>
      <c r="D447" s="12" t="s">
        <v>1612</v>
      </c>
      <c r="E447" s="13"/>
    </row>
    <row r="448" spans="1:5">
      <c r="A448" s="15">
        <v>3184</v>
      </c>
      <c r="B448" s="16" t="s">
        <v>1348</v>
      </c>
      <c r="C448" s="17">
        <v>0.06</v>
      </c>
      <c r="D448" s="18" t="s">
        <v>1612</v>
      </c>
      <c r="E448" s="49"/>
    </row>
    <row r="449" spans="1:5">
      <c r="A449" s="9">
        <v>2649</v>
      </c>
      <c r="B449" s="10" t="s">
        <v>1349</v>
      </c>
      <c r="C449" s="11">
        <v>0.06</v>
      </c>
      <c r="D449" s="12" t="s">
        <v>1612</v>
      </c>
      <c r="E449" s="13"/>
    </row>
    <row r="450" spans="1:5">
      <c r="A450" s="9">
        <v>2652</v>
      </c>
      <c r="B450" s="10" t="s">
        <v>1350</v>
      </c>
      <c r="C450" s="11">
        <v>0.06</v>
      </c>
      <c r="D450" s="12" t="s">
        <v>1612</v>
      </c>
      <c r="E450" s="13"/>
    </row>
    <row r="451" spans="1:5">
      <c r="A451" s="9">
        <v>2603</v>
      </c>
      <c r="B451" s="10" t="s">
        <v>1351</v>
      </c>
      <c r="C451" s="11">
        <v>0.06</v>
      </c>
      <c r="D451" s="12" t="s">
        <v>1612</v>
      </c>
      <c r="E451" s="13"/>
    </row>
    <row r="452" spans="1:5">
      <c r="A452" s="15">
        <v>3185</v>
      </c>
      <c r="B452" s="16" t="s">
        <v>1352</v>
      </c>
      <c r="C452" s="17">
        <v>0.06</v>
      </c>
      <c r="D452" s="18" t="s">
        <v>1612</v>
      </c>
      <c r="E452" s="19"/>
    </row>
    <row r="453" spans="1:5">
      <c r="A453" s="15">
        <v>3186</v>
      </c>
      <c r="B453" s="16" t="s">
        <v>1353</v>
      </c>
      <c r="C453" s="17">
        <v>0.06</v>
      </c>
      <c r="D453" s="18" t="s">
        <v>1612</v>
      </c>
      <c r="E453" s="19"/>
    </row>
    <row r="454" ht="31.5" spans="1:6">
      <c r="A454" s="15">
        <v>3187</v>
      </c>
      <c r="B454" s="16" t="s">
        <v>926</v>
      </c>
      <c r="C454" s="17" t="s">
        <v>1129</v>
      </c>
      <c r="D454" s="18" t="s">
        <v>1621</v>
      </c>
      <c r="E454" s="30" t="s">
        <v>1610</v>
      </c>
      <c r="F454" s="14" t="s">
        <v>1550</v>
      </c>
    </row>
    <row r="455" ht="31.5" spans="1:6">
      <c r="A455" s="15">
        <v>3188</v>
      </c>
      <c r="B455" s="16" t="s">
        <v>1354</v>
      </c>
      <c r="C455" s="17" t="s">
        <v>1129</v>
      </c>
      <c r="D455" s="18" t="s">
        <v>1621</v>
      </c>
      <c r="E455" s="30" t="s">
        <v>1610</v>
      </c>
      <c r="F455" s="14" t="s">
        <v>1550</v>
      </c>
    </row>
    <row r="456" ht="31.5" spans="1:6">
      <c r="A456" s="9">
        <v>3022</v>
      </c>
      <c r="B456" s="10" t="s">
        <v>1355</v>
      </c>
      <c r="C456" s="11" t="s">
        <v>1129</v>
      </c>
      <c r="D456" s="12" t="s">
        <v>1621</v>
      </c>
      <c r="E456" s="30" t="s">
        <v>1610</v>
      </c>
      <c r="F456" s="14" t="s">
        <v>1550</v>
      </c>
    </row>
    <row r="457" ht="31.5" spans="1:6">
      <c r="A457" s="15">
        <v>3189</v>
      </c>
      <c r="B457" s="16" t="s">
        <v>1356</v>
      </c>
      <c r="C457" s="17" t="s">
        <v>1129</v>
      </c>
      <c r="D457" s="18" t="s">
        <v>1621</v>
      </c>
      <c r="E457" s="30" t="s">
        <v>1610</v>
      </c>
      <c r="F457" s="14" t="s">
        <v>1550</v>
      </c>
    </row>
    <row r="458" ht="31.5" spans="1:6">
      <c r="A458" s="9">
        <v>1843</v>
      </c>
      <c r="B458" s="10" t="s">
        <v>1357</v>
      </c>
      <c r="C458" s="31" t="s">
        <v>1129</v>
      </c>
      <c r="D458" s="12" t="s">
        <v>1656</v>
      </c>
      <c r="E458" s="30" t="s">
        <v>1610</v>
      </c>
      <c r="F458" s="14" t="s">
        <v>1550</v>
      </c>
    </row>
    <row r="459" ht="31.5" spans="1:6">
      <c r="A459" s="9">
        <v>2775</v>
      </c>
      <c r="B459" s="10" t="s">
        <v>1358</v>
      </c>
      <c r="C459" s="31" t="s">
        <v>1129</v>
      </c>
      <c r="D459" s="12" t="s">
        <v>1656</v>
      </c>
      <c r="E459" s="30" t="s">
        <v>1610</v>
      </c>
      <c r="F459" s="14" t="s">
        <v>1550</v>
      </c>
    </row>
    <row r="460" ht="31.5" spans="1:6">
      <c r="A460" s="20">
        <v>2776</v>
      </c>
      <c r="B460" s="21" t="s">
        <v>1359</v>
      </c>
      <c r="C460" s="24" t="s">
        <v>1129</v>
      </c>
      <c r="D460" s="28" t="s">
        <v>1656</v>
      </c>
      <c r="E460" s="30" t="s">
        <v>1610</v>
      </c>
      <c r="F460" s="14" t="s">
        <v>1550</v>
      </c>
    </row>
    <row r="461" ht="31.5" spans="1:6">
      <c r="A461" s="9">
        <v>2947</v>
      </c>
      <c r="B461" s="10" t="s">
        <v>1360</v>
      </c>
      <c r="C461" s="31" t="s">
        <v>1129</v>
      </c>
      <c r="D461" s="12" t="s">
        <v>1656</v>
      </c>
      <c r="E461" s="30" t="s">
        <v>1610</v>
      </c>
      <c r="F461" s="14" t="s">
        <v>1550</v>
      </c>
    </row>
    <row r="462" ht="31.5" spans="1:6">
      <c r="A462" s="9">
        <v>3035</v>
      </c>
      <c r="B462" s="10" t="s">
        <v>1361</v>
      </c>
      <c r="C462" s="31" t="s">
        <v>1129</v>
      </c>
      <c r="D462" s="12" t="s">
        <v>1656</v>
      </c>
      <c r="E462" s="30" t="s">
        <v>1610</v>
      </c>
      <c r="F462" s="14" t="s">
        <v>1550</v>
      </c>
    </row>
    <row r="463" ht="31.5" spans="1:6">
      <c r="A463" s="15">
        <v>3191</v>
      </c>
      <c r="B463" s="16" t="s">
        <v>1362</v>
      </c>
      <c r="C463" s="17" t="s">
        <v>1129</v>
      </c>
      <c r="D463" s="18" t="s">
        <v>1656</v>
      </c>
      <c r="E463" s="30" t="s">
        <v>1610</v>
      </c>
      <c r="F463" s="14" t="s">
        <v>1550</v>
      </c>
    </row>
    <row r="464" ht="31.5" spans="1:6">
      <c r="A464" s="9">
        <v>2777</v>
      </c>
      <c r="B464" s="10" t="s">
        <v>696</v>
      </c>
      <c r="C464" s="31" t="s">
        <v>1129</v>
      </c>
      <c r="D464" s="12" t="s">
        <v>1656</v>
      </c>
      <c r="E464" s="30" t="s">
        <v>1610</v>
      </c>
      <c r="F464" s="14" t="s">
        <v>1550</v>
      </c>
    </row>
    <row r="465" spans="1:5">
      <c r="A465" s="9">
        <v>2919</v>
      </c>
      <c r="B465" s="10" t="s">
        <v>1363</v>
      </c>
      <c r="C465" s="11">
        <v>0.06</v>
      </c>
      <c r="D465" s="12" t="s">
        <v>1612</v>
      </c>
      <c r="E465" s="13"/>
    </row>
    <row r="466" spans="1:5">
      <c r="A466" s="9">
        <v>2920</v>
      </c>
      <c r="B466" s="10" t="s">
        <v>1364</v>
      </c>
      <c r="C466" s="11">
        <v>0.06</v>
      </c>
      <c r="D466" s="12" t="s">
        <v>1612</v>
      </c>
      <c r="E466" s="13"/>
    </row>
    <row r="467" spans="1:5">
      <c r="A467" s="9">
        <v>2894</v>
      </c>
      <c r="B467" s="10" t="s">
        <v>1365</v>
      </c>
      <c r="C467" s="11">
        <v>0.06</v>
      </c>
      <c r="D467" s="12" t="s">
        <v>1612</v>
      </c>
      <c r="E467" s="13"/>
    </row>
    <row r="468" spans="1:5">
      <c r="A468" s="9">
        <v>3036</v>
      </c>
      <c r="B468" s="10" t="s">
        <v>1366</v>
      </c>
      <c r="C468" s="11">
        <v>0.06</v>
      </c>
      <c r="D468" s="12" t="s">
        <v>1612</v>
      </c>
      <c r="E468" s="13"/>
    </row>
    <row r="469" spans="1:5">
      <c r="A469" s="9">
        <v>2924</v>
      </c>
      <c r="B469" s="10" t="s">
        <v>1367</v>
      </c>
      <c r="C469" s="11">
        <v>0.06</v>
      </c>
      <c r="D469" s="12" t="s">
        <v>1612</v>
      </c>
      <c r="E469" s="13"/>
    </row>
    <row r="470" spans="1:5">
      <c r="A470" s="9">
        <v>2925</v>
      </c>
      <c r="B470" s="10" t="s">
        <v>1368</v>
      </c>
      <c r="C470" s="11">
        <v>0.06</v>
      </c>
      <c r="D470" s="12" t="s">
        <v>1612</v>
      </c>
      <c r="E470" s="13"/>
    </row>
    <row r="471" spans="1:5">
      <c r="A471" s="9">
        <v>3037</v>
      </c>
      <c r="B471" s="10" t="s">
        <v>1369</v>
      </c>
      <c r="C471" s="11">
        <v>0.06</v>
      </c>
      <c r="D471" s="12" t="s">
        <v>1612</v>
      </c>
      <c r="E471" s="13"/>
    </row>
    <row r="472" spans="1:5">
      <c r="A472" s="9">
        <v>2927</v>
      </c>
      <c r="B472" s="10" t="s">
        <v>1370</v>
      </c>
      <c r="C472" s="11">
        <v>0.06</v>
      </c>
      <c r="D472" s="12" t="s">
        <v>1612</v>
      </c>
      <c r="E472" s="13"/>
    </row>
    <row r="473" spans="1:5">
      <c r="A473" s="9">
        <v>2782</v>
      </c>
      <c r="B473" s="10" t="s">
        <v>1371</v>
      </c>
      <c r="C473" s="11">
        <v>0.06</v>
      </c>
      <c r="D473" s="12" t="s">
        <v>1612</v>
      </c>
      <c r="E473" s="13"/>
    </row>
    <row r="474" spans="1:5">
      <c r="A474" s="9">
        <v>2783</v>
      </c>
      <c r="B474" s="10" t="s">
        <v>1372</v>
      </c>
      <c r="C474" s="11">
        <v>0.06</v>
      </c>
      <c r="D474" s="12" t="s">
        <v>1612</v>
      </c>
      <c r="E474" s="13"/>
    </row>
    <row r="475" spans="1:5">
      <c r="A475" s="9">
        <v>2785</v>
      </c>
      <c r="B475" s="10" t="s">
        <v>1373</v>
      </c>
      <c r="C475" s="11">
        <v>0.06</v>
      </c>
      <c r="D475" s="12" t="s">
        <v>1612</v>
      </c>
      <c r="E475" s="13"/>
    </row>
    <row r="476" spans="1:5">
      <c r="A476" s="9">
        <v>2786</v>
      </c>
      <c r="B476" s="10" t="s">
        <v>1374</v>
      </c>
      <c r="C476" s="11">
        <v>0.06</v>
      </c>
      <c r="D476" s="12" t="s">
        <v>1612</v>
      </c>
      <c r="E476" s="13"/>
    </row>
    <row r="477" spans="1:5">
      <c r="A477" s="9">
        <v>2787</v>
      </c>
      <c r="B477" s="10" t="s">
        <v>1375</v>
      </c>
      <c r="C477" s="11">
        <v>0.06</v>
      </c>
      <c r="D477" s="12" t="s">
        <v>1612</v>
      </c>
      <c r="E477" s="13"/>
    </row>
    <row r="478" spans="1:5">
      <c r="A478" s="9">
        <v>2788</v>
      </c>
      <c r="B478" s="10" t="s">
        <v>1376</v>
      </c>
      <c r="C478" s="11">
        <v>0.06</v>
      </c>
      <c r="D478" s="12" t="s">
        <v>1612</v>
      </c>
      <c r="E478" s="13"/>
    </row>
    <row r="479" spans="1:5">
      <c r="A479" s="9">
        <v>2789</v>
      </c>
      <c r="B479" s="10" t="s">
        <v>1377</v>
      </c>
      <c r="C479" s="11">
        <v>0.06</v>
      </c>
      <c r="D479" s="12" t="s">
        <v>1612</v>
      </c>
      <c r="E479" s="13"/>
    </row>
    <row r="480" spans="1:5">
      <c r="A480" s="9">
        <v>2790</v>
      </c>
      <c r="B480" s="10" t="s">
        <v>1378</v>
      </c>
      <c r="C480" s="11">
        <v>0.06</v>
      </c>
      <c r="D480" s="12" t="s">
        <v>1612</v>
      </c>
      <c r="E480" s="13"/>
    </row>
    <row r="481" spans="1:5">
      <c r="A481" s="9">
        <v>2791</v>
      </c>
      <c r="B481" s="10" t="s">
        <v>1379</v>
      </c>
      <c r="C481" s="11">
        <v>0.06</v>
      </c>
      <c r="D481" s="12" t="s">
        <v>1612</v>
      </c>
      <c r="E481" s="13"/>
    </row>
    <row r="482" spans="1:5">
      <c r="A482" s="9">
        <v>2792</v>
      </c>
      <c r="B482" s="10" t="s">
        <v>1380</v>
      </c>
      <c r="C482" s="11">
        <v>0.06</v>
      </c>
      <c r="D482" s="12" t="s">
        <v>1612</v>
      </c>
      <c r="E482" s="13"/>
    </row>
    <row r="483" spans="1:5">
      <c r="A483" s="9">
        <v>2793</v>
      </c>
      <c r="B483" s="10" t="s">
        <v>1381</v>
      </c>
      <c r="C483" s="11">
        <v>0.06</v>
      </c>
      <c r="D483" s="12" t="s">
        <v>1612</v>
      </c>
      <c r="E483" s="13"/>
    </row>
    <row r="484" spans="1:5">
      <c r="A484" s="9">
        <v>2794</v>
      </c>
      <c r="B484" s="10" t="s">
        <v>1382</v>
      </c>
      <c r="C484" s="11">
        <v>0.06</v>
      </c>
      <c r="D484" s="12" t="s">
        <v>1612</v>
      </c>
      <c r="E484" s="13"/>
    </row>
    <row r="485" spans="1:5">
      <c r="A485" s="9">
        <v>2795</v>
      </c>
      <c r="B485" s="10" t="s">
        <v>1383</v>
      </c>
      <c r="C485" s="11">
        <v>0.06</v>
      </c>
      <c r="D485" s="12" t="s">
        <v>1612</v>
      </c>
      <c r="E485" s="13"/>
    </row>
    <row r="486" spans="1:5">
      <c r="A486" s="9">
        <v>2796</v>
      </c>
      <c r="B486" s="10" t="s">
        <v>1384</v>
      </c>
      <c r="C486" s="11">
        <v>0.06</v>
      </c>
      <c r="D486" s="12" t="s">
        <v>1612</v>
      </c>
      <c r="E486" s="13"/>
    </row>
    <row r="487" spans="1:5">
      <c r="A487" s="9">
        <v>2797</v>
      </c>
      <c r="B487" s="10" t="s">
        <v>1385</v>
      </c>
      <c r="C487" s="11">
        <v>0.06</v>
      </c>
      <c r="D487" s="12" t="s">
        <v>1612</v>
      </c>
      <c r="E487" s="13"/>
    </row>
    <row r="488" spans="1:5">
      <c r="A488" s="9">
        <v>3038</v>
      </c>
      <c r="B488" s="10" t="s">
        <v>1386</v>
      </c>
      <c r="C488" s="11">
        <v>0.06</v>
      </c>
      <c r="D488" s="12" t="s">
        <v>1612</v>
      </c>
      <c r="E488" s="13"/>
    </row>
    <row r="489" spans="1:5">
      <c r="A489" s="9">
        <v>2798</v>
      </c>
      <c r="B489" s="10" t="s">
        <v>1387</v>
      </c>
      <c r="C489" s="11">
        <v>0.06</v>
      </c>
      <c r="D489" s="12" t="s">
        <v>1612</v>
      </c>
      <c r="E489" s="13"/>
    </row>
    <row r="490" ht="31.5" spans="1:6">
      <c r="A490" s="9">
        <v>2802</v>
      </c>
      <c r="B490" s="10" t="s">
        <v>1388</v>
      </c>
      <c r="C490" s="31" t="s">
        <v>1129</v>
      </c>
      <c r="D490" s="12" t="s">
        <v>1656</v>
      </c>
      <c r="E490" s="30" t="s">
        <v>1610</v>
      </c>
      <c r="F490" s="14" t="s">
        <v>1550</v>
      </c>
    </row>
    <row r="491" ht="31.5" spans="1:6">
      <c r="A491" s="9">
        <v>3053</v>
      </c>
      <c r="B491" s="10" t="s">
        <v>1389</v>
      </c>
      <c r="C491" s="31" t="s">
        <v>1129</v>
      </c>
      <c r="D491" s="12" t="s">
        <v>1656</v>
      </c>
      <c r="E491" s="30" t="s">
        <v>1610</v>
      </c>
      <c r="F491" s="14" t="s">
        <v>1550</v>
      </c>
    </row>
    <row r="492" ht="31.5" spans="1:6">
      <c r="A492" s="9">
        <v>3054</v>
      </c>
      <c r="B492" s="10" t="s">
        <v>1390</v>
      </c>
      <c r="C492" s="31" t="s">
        <v>1129</v>
      </c>
      <c r="D492" s="12" t="s">
        <v>1656</v>
      </c>
      <c r="E492" s="30" t="s">
        <v>1610</v>
      </c>
      <c r="F492" s="14" t="s">
        <v>1550</v>
      </c>
    </row>
    <row r="493" ht="31.5" spans="1:6">
      <c r="A493" s="50">
        <v>2816</v>
      </c>
      <c r="B493" s="51" t="s">
        <v>1391</v>
      </c>
      <c r="C493" s="52" t="s">
        <v>1129</v>
      </c>
      <c r="D493" s="53" t="s">
        <v>1656</v>
      </c>
      <c r="E493" s="30" t="s">
        <v>1610</v>
      </c>
      <c r="F493" s="14" t="s">
        <v>1550</v>
      </c>
    </row>
    <row r="494" ht="31.5" spans="1:6">
      <c r="A494" s="9">
        <v>2820</v>
      </c>
      <c r="B494" s="10" t="s">
        <v>1392</v>
      </c>
      <c r="C494" s="31" t="s">
        <v>1129</v>
      </c>
      <c r="D494" s="12" t="s">
        <v>1656</v>
      </c>
      <c r="E494" s="30" t="s">
        <v>1610</v>
      </c>
      <c r="F494" s="14" t="s">
        <v>1550</v>
      </c>
    </row>
    <row r="495" ht="31.5" spans="1:6">
      <c r="A495" s="20">
        <v>3052</v>
      </c>
      <c r="B495" s="21" t="s">
        <v>1393</v>
      </c>
      <c r="C495" s="24" t="s">
        <v>1129</v>
      </c>
      <c r="D495" s="28" t="s">
        <v>1656</v>
      </c>
      <c r="E495" s="30" t="s">
        <v>1610</v>
      </c>
      <c r="F495" s="14" t="s">
        <v>1550</v>
      </c>
    </row>
    <row r="496" ht="31.5" spans="1:6">
      <c r="A496" s="20">
        <v>2870</v>
      </c>
      <c r="B496" s="21" t="s">
        <v>1394</v>
      </c>
      <c r="C496" s="24" t="s">
        <v>1129</v>
      </c>
      <c r="D496" s="28" t="s">
        <v>1656</v>
      </c>
      <c r="E496" s="30" t="s">
        <v>1610</v>
      </c>
      <c r="F496" s="14" t="s">
        <v>1550</v>
      </c>
    </row>
    <row r="497" ht="31.5" spans="1:6">
      <c r="A497" s="20">
        <v>2871</v>
      </c>
      <c r="B497" s="21" t="s">
        <v>1395</v>
      </c>
      <c r="C497" s="24" t="s">
        <v>1129</v>
      </c>
      <c r="D497" s="28" t="s">
        <v>1656</v>
      </c>
      <c r="E497" s="30" t="s">
        <v>1610</v>
      </c>
      <c r="F497" s="14" t="s">
        <v>1550</v>
      </c>
    </row>
    <row r="498" ht="31.5" spans="1:6">
      <c r="A498" s="20">
        <v>2872</v>
      </c>
      <c r="B498" s="21" t="s">
        <v>1396</v>
      </c>
      <c r="C498" s="24" t="s">
        <v>1129</v>
      </c>
      <c r="D498" s="28" t="s">
        <v>1656</v>
      </c>
      <c r="E498" s="30" t="s">
        <v>1610</v>
      </c>
      <c r="F498" s="14" t="s">
        <v>1550</v>
      </c>
    </row>
    <row r="499" ht="31.5" spans="1:6">
      <c r="A499" s="20">
        <v>2873</v>
      </c>
      <c r="B499" s="21" t="s">
        <v>1397</v>
      </c>
      <c r="C499" s="24" t="s">
        <v>1129</v>
      </c>
      <c r="D499" s="28" t="s">
        <v>1656</v>
      </c>
      <c r="E499" s="30" t="s">
        <v>1610</v>
      </c>
      <c r="F499" s="14" t="s">
        <v>1550</v>
      </c>
    </row>
    <row r="500" ht="31.5" spans="1:6">
      <c r="A500" s="20">
        <v>2874</v>
      </c>
      <c r="B500" s="21" t="s">
        <v>1398</v>
      </c>
      <c r="C500" s="24" t="s">
        <v>1129</v>
      </c>
      <c r="D500" s="28" t="s">
        <v>1656</v>
      </c>
      <c r="E500" s="30" t="s">
        <v>1610</v>
      </c>
      <c r="F500" s="14" t="s">
        <v>1550</v>
      </c>
    </row>
    <row r="501" ht="31.5" spans="1:6">
      <c r="A501" s="20">
        <v>2875</v>
      </c>
      <c r="B501" s="21" t="s">
        <v>1399</v>
      </c>
      <c r="C501" s="24" t="s">
        <v>1129</v>
      </c>
      <c r="D501" s="28" t="s">
        <v>1656</v>
      </c>
      <c r="E501" s="30" t="s">
        <v>1610</v>
      </c>
      <c r="F501" s="14" t="s">
        <v>1550</v>
      </c>
    </row>
    <row r="502" ht="31.5" spans="1:6">
      <c r="A502" s="20">
        <v>2876</v>
      </c>
      <c r="B502" s="21" t="s">
        <v>1400</v>
      </c>
      <c r="C502" s="24" t="s">
        <v>1129</v>
      </c>
      <c r="D502" s="28" t="s">
        <v>1656</v>
      </c>
      <c r="E502" s="30" t="s">
        <v>1610</v>
      </c>
      <c r="F502" s="14" t="s">
        <v>1550</v>
      </c>
    </row>
    <row r="503" ht="31.5" spans="1:6">
      <c r="A503" s="20">
        <v>2877</v>
      </c>
      <c r="B503" s="21" t="s">
        <v>1401</v>
      </c>
      <c r="C503" s="24" t="s">
        <v>1129</v>
      </c>
      <c r="D503" s="28" t="s">
        <v>1656</v>
      </c>
      <c r="E503" s="30" t="s">
        <v>1610</v>
      </c>
      <c r="F503" s="14" t="s">
        <v>1550</v>
      </c>
    </row>
    <row r="504" ht="31.5" spans="1:6">
      <c r="A504" s="20">
        <v>2878</v>
      </c>
      <c r="B504" s="21" t="s">
        <v>1402</v>
      </c>
      <c r="C504" s="24" t="s">
        <v>1129</v>
      </c>
      <c r="D504" s="28" t="s">
        <v>1656</v>
      </c>
      <c r="E504" s="30" t="s">
        <v>1610</v>
      </c>
      <c r="F504" s="14" t="s">
        <v>1550</v>
      </c>
    </row>
    <row r="505" ht="31.5" spans="1:6">
      <c r="A505" s="20">
        <v>2879</v>
      </c>
      <c r="B505" s="21" t="s">
        <v>1403</v>
      </c>
      <c r="C505" s="24" t="s">
        <v>1129</v>
      </c>
      <c r="D505" s="28" t="s">
        <v>1656</v>
      </c>
      <c r="E505" s="30" t="s">
        <v>1610</v>
      </c>
      <c r="F505" s="14" t="s">
        <v>1550</v>
      </c>
    </row>
    <row r="506" ht="31.5" spans="1:6">
      <c r="A506" s="20">
        <v>2880</v>
      </c>
      <c r="B506" s="21" t="s">
        <v>1404</v>
      </c>
      <c r="C506" s="24" t="s">
        <v>1129</v>
      </c>
      <c r="D506" s="28" t="s">
        <v>1656</v>
      </c>
      <c r="E506" s="30" t="s">
        <v>1610</v>
      </c>
      <c r="F506" s="14" t="s">
        <v>1550</v>
      </c>
    </row>
    <row r="507" ht="31.5" spans="1:6">
      <c r="A507" s="20">
        <v>2881</v>
      </c>
      <c r="B507" s="21" t="s">
        <v>1405</v>
      </c>
      <c r="C507" s="24" t="s">
        <v>1129</v>
      </c>
      <c r="D507" s="28" t="s">
        <v>1656</v>
      </c>
      <c r="E507" s="30" t="s">
        <v>1610</v>
      </c>
      <c r="F507" s="14" t="s">
        <v>1550</v>
      </c>
    </row>
    <row r="508" ht="31.5" spans="1:6">
      <c r="A508" s="20">
        <v>2882</v>
      </c>
      <c r="B508" s="21" t="s">
        <v>1406</v>
      </c>
      <c r="C508" s="24" t="s">
        <v>1129</v>
      </c>
      <c r="D508" s="28" t="s">
        <v>1656</v>
      </c>
      <c r="E508" s="30" t="s">
        <v>1610</v>
      </c>
      <c r="F508" s="14" t="s">
        <v>1550</v>
      </c>
    </row>
    <row r="509" ht="31.5" spans="1:6">
      <c r="A509" s="20">
        <v>2883</v>
      </c>
      <c r="B509" s="21" t="s">
        <v>1407</v>
      </c>
      <c r="C509" s="24" t="s">
        <v>1129</v>
      </c>
      <c r="D509" s="28" t="s">
        <v>1656</v>
      </c>
      <c r="E509" s="30" t="s">
        <v>1610</v>
      </c>
      <c r="F509" s="14" t="s">
        <v>1550</v>
      </c>
    </row>
    <row r="510" ht="31.5" spans="1:6">
      <c r="A510" s="20">
        <v>2884</v>
      </c>
      <c r="B510" s="21" t="s">
        <v>1408</v>
      </c>
      <c r="C510" s="24" t="s">
        <v>1129</v>
      </c>
      <c r="D510" s="28" t="s">
        <v>1656</v>
      </c>
      <c r="E510" s="30" t="s">
        <v>1610</v>
      </c>
      <c r="F510" s="14" t="s">
        <v>1550</v>
      </c>
    </row>
    <row r="511" ht="31.5" spans="1:6">
      <c r="A511" s="9">
        <v>2885</v>
      </c>
      <c r="B511" s="10" t="s">
        <v>1657</v>
      </c>
      <c r="C511" s="31" t="s">
        <v>1129</v>
      </c>
      <c r="D511" s="12" t="s">
        <v>1656</v>
      </c>
      <c r="E511" s="30" t="s">
        <v>1610</v>
      </c>
      <c r="F511" s="14" t="s">
        <v>1550</v>
      </c>
    </row>
    <row r="512" ht="31.5" spans="1:6">
      <c r="A512" s="9">
        <v>2822</v>
      </c>
      <c r="B512" s="10" t="s">
        <v>1409</v>
      </c>
      <c r="C512" s="31" t="s">
        <v>1129</v>
      </c>
      <c r="D512" s="12" t="s">
        <v>1656</v>
      </c>
      <c r="E512" s="30" t="s">
        <v>1610</v>
      </c>
      <c r="F512" s="14" t="s">
        <v>1550</v>
      </c>
    </row>
    <row r="513" ht="31.5" spans="1:6">
      <c r="A513" s="15">
        <v>3195</v>
      </c>
      <c r="B513" s="16" t="s">
        <v>1410</v>
      </c>
      <c r="C513" s="17" t="s">
        <v>1129</v>
      </c>
      <c r="D513" s="18" t="s">
        <v>1656</v>
      </c>
      <c r="E513" s="30" t="s">
        <v>1610</v>
      </c>
      <c r="F513" s="14" t="s">
        <v>1550</v>
      </c>
    </row>
    <row r="514" ht="31.5" spans="1:6">
      <c r="A514" s="9">
        <v>2833</v>
      </c>
      <c r="B514" s="10" t="s">
        <v>1411</v>
      </c>
      <c r="C514" s="31" t="s">
        <v>1129</v>
      </c>
      <c r="D514" s="12" t="s">
        <v>1656</v>
      </c>
      <c r="E514" s="30" t="s">
        <v>1610</v>
      </c>
      <c r="F514" s="14" t="s">
        <v>1550</v>
      </c>
    </row>
    <row r="515" spans="1:5">
      <c r="A515" s="9">
        <v>1433</v>
      </c>
      <c r="B515" s="10" t="s">
        <v>1412</v>
      </c>
      <c r="C515" s="11">
        <v>0.06</v>
      </c>
      <c r="D515" s="12" t="s">
        <v>1612</v>
      </c>
      <c r="E515" s="13" t="s">
        <v>1075</v>
      </c>
    </row>
    <row r="516" spans="1:5">
      <c r="A516" s="9">
        <v>2836</v>
      </c>
      <c r="B516" s="10" t="s">
        <v>653</v>
      </c>
      <c r="C516" s="11">
        <v>0.06</v>
      </c>
      <c r="D516" s="12" t="s">
        <v>1612</v>
      </c>
      <c r="E516" s="13"/>
    </row>
    <row r="517" spans="1:5">
      <c r="A517" s="9">
        <v>2548</v>
      </c>
      <c r="B517" s="10" t="s">
        <v>1413</v>
      </c>
      <c r="C517" s="11">
        <v>0.06</v>
      </c>
      <c r="D517" s="12" t="s">
        <v>1612</v>
      </c>
      <c r="E517" s="13"/>
    </row>
    <row r="518" spans="1:5">
      <c r="A518" s="9">
        <v>2837</v>
      </c>
      <c r="B518" s="10" t="s">
        <v>656</v>
      </c>
      <c r="C518" s="11">
        <v>0.06</v>
      </c>
      <c r="D518" s="12" t="s">
        <v>1612</v>
      </c>
      <c r="E518" s="13"/>
    </row>
    <row r="519" spans="1:5">
      <c r="A519" s="9">
        <v>1946</v>
      </c>
      <c r="B519" s="10" t="s">
        <v>439</v>
      </c>
      <c r="C519" s="11">
        <v>0.06</v>
      </c>
      <c r="D519" s="12" t="s">
        <v>1612</v>
      </c>
      <c r="E519" s="13"/>
    </row>
    <row r="520" spans="1:5">
      <c r="A520" s="9">
        <v>1947</v>
      </c>
      <c r="B520" s="10" t="s">
        <v>659</v>
      </c>
      <c r="C520" s="11">
        <v>0.06</v>
      </c>
      <c r="D520" s="12" t="s">
        <v>1612</v>
      </c>
      <c r="E520" s="13"/>
    </row>
    <row r="521" spans="1:5">
      <c r="A521" s="9">
        <v>2446</v>
      </c>
      <c r="B521" s="10" t="s">
        <v>1414</v>
      </c>
      <c r="C521" s="11">
        <v>0.06</v>
      </c>
      <c r="D521" s="12" t="s">
        <v>1612</v>
      </c>
      <c r="E521" s="13"/>
    </row>
    <row r="522" spans="1:5">
      <c r="A522" s="9">
        <v>2447</v>
      </c>
      <c r="B522" s="10" t="s">
        <v>1415</v>
      </c>
      <c r="C522" s="11">
        <v>0.06</v>
      </c>
      <c r="D522" s="12" t="s">
        <v>1612</v>
      </c>
      <c r="E522" s="13"/>
    </row>
    <row r="523" spans="1:5">
      <c r="A523" s="9">
        <v>2448</v>
      </c>
      <c r="B523" s="10" t="s">
        <v>1416</v>
      </c>
      <c r="C523" s="11">
        <v>0.06</v>
      </c>
      <c r="D523" s="12" t="s">
        <v>1612</v>
      </c>
      <c r="E523" s="13"/>
    </row>
    <row r="524" spans="1:5">
      <c r="A524" s="9">
        <v>2449</v>
      </c>
      <c r="B524" s="10" t="s">
        <v>1417</v>
      </c>
      <c r="C524" s="11">
        <v>0.06</v>
      </c>
      <c r="D524" s="12" t="s">
        <v>1612</v>
      </c>
      <c r="E524" s="13"/>
    </row>
    <row r="525" spans="1:5">
      <c r="A525" s="9">
        <v>2838</v>
      </c>
      <c r="B525" s="10" t="s">
        <v>1418</v>
      </c>
      <c r="C525" s="11">
        <v>0.06</v>
      </c>
      <c r="D525" s="12" t="s">
        <v>1612</v>
      </c>
      <c r="E525" s="13"/>
    </row>
    <row r="526" spans="1:5">
      <c r="A526" s="9">
        <v>2839</v>
      </c>
      <c r="B526" s="10" t="s">
        <v>1419</v>
      </c>
      <c r="C526" s="11">
        <v>0.06</v>
      </c>
      <c r="D526" s="12" t="s">
        <v>1612</v>
      </c>
      <c r="E526" s="13"/>
    </row>
    <row r="527" spans="1:5">
      <c r="A527" s="9">
        <v>2949</v>
      </c>
      <c r="B527" s="10" t="s">
        <v>1420</v>
      </c>
      <c r="C527" s="11">
        <v>0.06</v>
      </c>
      <c r="D527" s="12" t="s">
        <v>1612</v>
      </c>
      <c r="E527" s="13"/>
    </row>
    <row r="528" spans="1:5">
      <c r="A528" s="9">
        <v>3040</v>
      </c>
      <c r="B528" s="10" t="s">
        <v>1421</v>
      </c>
      <c r="C528" s="11">
        <v>0.06</v>
      </c>
      <c r="D528" s="12" t="s">
        <v>1612</v>
      </c>
      <c r="E528" s="13"/>
    </row>
    <row r="529" spans="1:5">
      <c r="A529" s="9">
        <v>3041</v>
      </c>
      <c r="B529" s="10" t="s">
        <v>1422</v>
      </c>
      <c r="C529" s="11">
        <v>0.06</v>
      </c>
      <c r="D529" s="12" t="s">
        <v>1612</v>
      </c>
      <c r="E529" s="13"/>
    </row>
    <row r="530" spans="1:5">
      <c r="A530" s="9">
        <v>1949</v>
      </c>
      <c r="B530" s="10" t="s">
        <v>442</v>
      </c>
      <c r="C530" s="11">
        <v>0.06</v>
      </c>
      <c r="D530" s="12" t="s">
        <v>1612</v>
      </c>
      <c r="E530" s="13"/>
    </row>
    <row r="531" spans="1:5">
      <c r="A531" s="9">
        <v>1950</v>
      </c>
      <c r="B531" s="54" t="s">
        <v>714</v>
      </c>
      <c r="C531" s="11">
        <v>0.06</v>
      </c>
      <c r="D531" s="12" t="s">
        <v>1612</v>
      </c>
      <c r="E531" s="13"/>
    </row>
    <row r="532" spans="1:5">
      <c r="A532" s="9">
        <v>2842</v>
      </c>
      <c r="B532" s="54" t="s">
        <v>1423</v>
      </c>
      <c r="C532" s="11">
        <v>0.06</v>
      </c>
      <c r="D532" s="12" t="s">
        <v>1612</v>
      </c>
      <c r="E532" s="13"/>
    </row>
    <row r="533" spans="1:5">
      <c r="A533" s="9">
        <v>3044</v>
      </c>
      <c r="B533" s="54" t="s">
        <v>1424</v>
      </c>
      <c r="C533" s="11">
        <v>0.06</v>
      </c>
      <c r="D533" s="12" t="s">
        <v>1612</v>
      </c>
      <c r="E533" s="13"/>
    </row>
    <row r="534" ht="31.5" spans="1:6">
      <c r="A534" s="9">
        <v>3045</v>
      </c>
      <c r="B534" s="54" t="s">
        <v>1425</v>
      </c>
      <c r="C534" s="31" t="s">
        <v>1129</v>
      </c>
      <c r="D534" s="12" t="s">
        <v>1656</v>
      </c>
      <c r="E534" s="30" t="s">
        <v>1610</v>
      </c>
      <c r="F534" s="14" t="s">
        <v>1550</v>
      </c>
    </row>
    <row r="535" spans="1:5">
      <c r="A535" s="9">
        <v>1681</v>
      </c>
      <c r="B535" s="10" t="s">
        <v>699</v>
      </c>
      <c r="C535" s="11">
        <v>0.06</v>
      </c>
      <c r="D535" s="12" t="s">
        <v>1612</v>
      </c>
      <c r="E535" s="13"/>
    </row>
    <row r="536" spans="1:5">
      <c r="A536" s="9">
        <v>1918</v>
      </c>
      <c r="B536" s="10" t="s">
        <v>1426</v>
      </c>
      <c r="C536" s="11">
        <v>0.06</v>
      </c>
      <c r="D536" s="12" t="s">
        <v>1612</v>
      </c>
      <c r="E536" s="13"/>
    </row>
    <row r="537" spans="1:5">
      <c r="A537" s="9">
        <v>1920</v>
      </c>
      <c r="B537" s="10" t="s">
        <v>1427</v>
      </c>
      <c r="C537" s="11">
        <v>0.06</v>
      </c>
      <c r="D537" s="12" t="s">
        <v>1612</v>
      </c>
      <c r="E537" s="13"/>
    </row>
    <row r="538" spans="1:5">
      <c r="A538" s="9">
        <v>1921</v>
      </c>
      <c r="B538" s="10" t="s">
        <v>1428</v>
      </c>
      <c r="C538" s="11">
        <v>0.06</v>
      </c>
      <c r="D538" s="12" t="s">
        <v>1612</v>
      </c>
      <c r="E538" s="13"/>
    </row>
    <row r="539" spans="1:5">
      <c r="A539" s="9">
        <v>1922</v>
      </c>
      <c r="B539" s="10" t="s">
        <v>1429</v>
      </c>
      <c r="C539" s="11">
        <v>0.06</v>
      </c>
      <c r="D539" s="12" t="s">
        <v>1612</v>
      </c>
      <c r="E539" s="13"/>
    </row>
    <row r="540" spans="1:5">
      <c r="A540" s="9">
        <v>1923</v>
      </c>
      <c r="B540" s="10" t="s">
        <v>1430</v>
      </c>
      <c r="C540" s="11">
        <v>0.06</v>
      </c>
      <c r="D540" s="12" t="s">
        <v>1612</v>
      </c>
      <c r="E540" s="13"/>
    </row>
    <row r="541" spans="1:5">
      <c r="A541" s="9">
        <v>1925</v>
      </c>
      <c r="B541" s="10" t="s">
        <v>1431</v>
      </c>
      <c r="C541" s="11">
        <v>0.06</v>
      </c>
      <c r="D541" s="12" t="s">
        <v>1612</v>
      </c>
      <c r="E541" s="13"/>
    </row>
    <row r="542" spans="1:5">
      <c r="A542" s="9">
        <v>1926</v>
      </c>
      <c r="B542" s="10" t="s">
        <v>1432</v>
      </c>
      <c r="C542" s="11">
        <v>0.06</v>
      </c>
      <c r="D542" s="12" t="s">
        <v>1612</v>
      </c>
      <c r="E542" s="13"/>
    </row>
    <row r="543" spans="1:5">
      <c r="A543" s="20">
        <v>1927</v>
      </c>
      <c r="B543" s="21" t="s">
        <v>1433</v>
      </c>
      <c r="C543" s="22">
        <v>0.06</v>
      </c>
      <c r="D543" s="28" t="s">
        <v>1612</v>
      </c>
      <c r="E543" s="29"/>
    </row>
    <row r="544" spans="1:5">
      <c r="A544" s="9">
        <v>1929</v>
      </c>
      <c r="B544" s="10" t="s">
        <v>1434</v>
      </c>
      <c r="C544" s="11">
        <v>0.06</v>
      </c>
      <c r="D544" s="12" t="s">
        <v>1612</v>
      </c>
      <c r="E544" s="13"/>
    </row>
    <row r="545" spans="1:5">
      <c r="A545" s="9">
        <v>1930</v>
      </c>
      <c r="B545" s="10" t="s">
        <v>1435</v>
      </c>
      <c r="C545" s="11">
        <v>0.06</v>
      </c>
      <c r="D545" s="12" t="s">
        <v>1612</v>
      </c>
      <c r="E545" s="13"/>
    </row>
    <row r="546" spans="1:5">
      <c r="A546" s="44">
        <v>1931</v>
      </c>
      <c r="B546" s="45" t="s">
        <v>1436</v>
      </c>
      <c r="C546" s="46">
        <v>0.06</v>
      </c>
      <c r="D546" s="47" t="s">
        <v>1612</v>
      </c>
      <c r="E546" s="48"/>
    </row>
    <row r="547" spans="1:5">
      <c r="A547" s="9">
        <v>1932</v>
      </c>
      <c r="B547" s="10" t="s">
        <v>1437</v>
      </c>
      <c r="C547" s="11">
        <v>0.06</v>
      </c>
      <c r="D547" s="12" t="s">
        <v>1612</v>
      </c>
      <c r="E547" s="13"/>
    </row>
    <row r="548" spans="1:5">
      <c r="A548" s="9">
        <v>2850</v>
      </c>
      <c r="B548" s="10" t="s">
        <v>1438</v>
      </c>
      <c r="C548" s="11">
        <v>0.06</v>
      </c>
      <c r="D548" s="12" t="s">
        <v>1612</v>
      </c>
      <c r="E548" s="13"/>
    </row>
    <row r="549" spans="1:5">
      <c r="A549" s="44">
        <v>2851</v>
      </c>
      <c r="B549" s="45" t="s">
        <v>1439</v>
      </c>
      <c r="C549" s="46">
        <v>0.06</v>
      </c>
      <c r="D549" s="47" t="s">
        <v>1612</v>
      </c>
      <c r="E549" s="48"/>
    </row>
    <row r="550" spans="1:5">
      <c r="A550" s="20">
        <v>1933</v>
      </c>
      <c r="B550" s="21" t="s">
        <v>1440</v>
      </c>
      <c r="C550" s="22">
        <v>0.06</v>
      </c>
      <c r="D550" s="28" t="s">
        <v>1612</v>
      </c>
      <c r="E550" s="29"/>
    </row>
    <row r="551" spans="1:5">
      <c r="A551" s="9">
        <v>1935</v>
      </c>
      <c r="B551" s="10" t="s">
        <v>1441</v>
      </c>
      <c r="C551" s="11">
        <v>0.06</v>
      </c>
      <c r="D551" s="12" t="s">
        <v>1554</v>
      </c>
      <c r="E551" s="13"/>
    </row>
    <row r="552" spans="1:5">
      <c r="A552" s="9">
        <v>2687</v>
      </c>
      <c r="B552" s="27" t="s">
        <v>1442</v>
      </c>
      <c r="C552" s="11">
        <v>0.06</v>
      </c>
      <c r="D552" s="12" t="s">
        <v>1612</v>
      </c>
      <c r="E552" s="13"/>
    </row>
    <row r="553" ht="31.5" spans="1:6">
      <c r="A553" s="9">
        <v>2931</v>
      </c>
      <c r="B553" s="10" t="s">
        <v>1443</v>
      </c>
      <c r="C553" s="31" t="s">
        <v>1129</v>
      </c>
      <c r="D553" s="12" t="s">
        <v>1612</v>
      </c>
      <c r="E553" s="30" t="s">
        <v>1610</v>
      </c>
      <c r="F553" s="14" t="s">
        <v>1550</v>
      </c>
    </row>
    <row r="554" ht="31.5" spans="1:6">
      <c r="A554" s="9">
        <v>1937</v>
      </c>
      <c r="B554" s="10" t="s">
        <v>1444</v>
      </c>
      <c r="C554" s="31" t="s">
        <v>1129</v>
      </c>
      <c r="D554" s="12" t="s">
        <v>1656</v>
      </c>
      <c r="E554" s="30" t="s">
        <v>1610</v>
      </c>
      <c r="F554" s="14" t="s">
        <v>1550</v>
      </c>
    </row>
    <row r="555" ht="31.5" spans="1:6">
      <c r="A555" s="9">
        <v>2852</v>
      </c>
      <c r="B555" s="10" t="s">
        <v>1445</v>
      </c>
      <c r="C555" s="31" t="s">
        <v>1129</v>
      </c>
      <c r="D555" s="12" t="s">
        <v>1656</v>
      </c>
      <c r="E555" s="30" t="s">
        <v>1610</v>
      </c>
      <c r="F555" s="14" t="s">
        <v>1550</v>
      </c>
    </row>
    <row r="556" ht="31.5" spans="1:6">
      <c r="A556" s="9">
        <v>2939</v>
      </c>
      <c r="B556" s="10" t="s">
        <v>1446</v>
      </c>
      <c r="C556" s="31" t="s">
        <v>1129</v>
      </c>
      <c r="D556" s="12" t="s">
        <v>1656</v>
      </c>
      <c r="E556" s="30" t="s">
        <v>1610</v>
      </c>
      <c r="F556" s="14" t="s">
        <v>1550</v>
      </c>
    </row>
    <row r="557" ht="31.5" spans="1:6">
      <c r="A557" s="20">
        <v>2942</v>
      </c>
      <c r="B557" s="21" t="s">
        <v>1447</v>
      </c>
      <c r="C557" s="24" t="s">
        <v>1129</v>
      </c>
      <c r="D557" s="28" t="s">
        <v>1656</v>
      </c>
      <c r="E557" s="30" t="s">
        <v>1610</v>
      </c>
      <c r="F557" s="14" t="s">
        <v>1550</v>
      </c>
    </row>
    <row r="558" ht="31.5" spans="1:6">
      <c r="A558" s="9">
        <v>1938</v>
      </c>
      <c r="B558" s="10" t="s">
        <v>799</v>
      </c>
      <c r="C558" s="31" t="s">
        <v>1129</v>
      </c>
      <c r="D558" s="12" t="s">
        <v>1656</v>
      </c>
      <c r="E558" s="30" t="s">
        <v>1610</v>
      </c>
      <c r="F558" s="14" t="s">
        <v>1550</v>
      </c>
    </row>
    <row r="559" ht="31.5" spans="1:6">
      <c r="A559" s="9">
        <v>1650</v>
      </c>
      <c r="B559" s="10" t="s">
        <v>523</v>
      </c>
      <c r="C559" s="31" t="s">
        <v>1129</v>
      </c>
      <c r="D559" s="32" t="s">
        <v>1621</v>
      </c>
      <c r="E559" s="30" t="s">
        <v>1610</v>
      </c>
      <c r="F559" s="14" t="s">
        <v>1550</v>
      </c>
    </row>
    <row r="560" ht="21" spans="1:5">
      <c r="A560" s="9">
        <v>1658</v>
      </c>
      <c r="B560" s="10" t="s">
        <v>1448</v>
      </c>
      <c r="C560" s="11">
        <v>0.06</v>
      </c>
      <c r="D560" s="12" t="s">
        <v>1576</v>
      </c>
      <c r="E560" s="13" t="s">
        <v>1075</v>
      </c>
    </row>
    <row r="561" ht="21" spans="1:5">
      <c r="A561" s="9">
        <v>1657</v>
      </c>
      <c r="B561" s="10" t="s">
        <v>1449</v>
      </c>
      <c r="C561" s="11">
        <v>0.06</v>
      </c>
      <c r="D561" s="12" t="s">
        <v>1576</v>
      </c>
      <c r="E561" s="13" t="s">
        <v>1075</v>
      </c>
    </row>
    <row r="562" ht="21" spans="1:5">
      <c r="A562" s="9">
        <v>1661</v>
      </c>
      <c r="B562" s="10" t="s">
        <v>1450</v>
      </c>
      <c r="C562" s="11">
        <v>0.06</v>
      </c>
      <c r="D562" s="12" t="s">
        <v>1576</v>
      </c>
      <c r="E562" s="13" t="s">
        <v>1075</v>
      </c>
    </row>
    <row r="563" ht="21" spans="1:5">
      <c r="A563" s="9">
        <v>1660</v>
      </c>
      <c r="B563" s="10" t="s">
        <v>1451</v>
      </c>
      <c r="C563" s="11">
        <v>0.06</v>
      </c>
      <c r="D563" s="12" t="s">
        <v>1576</v>
      </c>
      <c r="E563" s="13" t="s">
        <v>1075</v>
      </c>
    </row>
    <row r="564" spans="1:5">
      <c r="A564" s="9">
        <v>1911</v>
      </c>
      <c r="B564" s="10" t="s">
        <v>792</v>
      </c>
      <c r="C564" s="11">
        <v>0.06</v>
      </c>
      <c r="D564" s="12" t="s">
        <v>1612</v>
      </c>
      <c r="E564" s="13"/>
    </row>
    <row r="565" spans="1:5">
      <c r="A565" s="9">
        <v>1912</v>
      </c>
      <c r="B565" s="10" t="s">
        <v>412</v>
      </c>
      <c r="C565" s="11">
        <v>0.06</v>
      </c>
      <c r="D565" s="12" t="s">
        <v>1612</v>
      </c>
      <c r="E565" s="13"/>
    </row>
    <row r="566" spans="1:5">
      <c r="A566" s="9">
        <v>1913</v>
      </c>
      <c r="B566" s="10" t="s">
        <v>415</v>
      </c>
      <c r="C566" s="11">
        <v>0.06</v>
      </c>
      <c r="D566" s="12" t="s">
        <v>1612</v>
      </c>
      <c r="E566" s="13"/>
    </row>
    <row r="567" spans="1:5">
      <c r="A567" s="9">
        <v>1914</v>
      </c>
      <c r="B567" s="10" t="s">
        <v>418</v>
      </c>
      <c r="C567" s="11">
        <v>0.06</v>
      </c>
      <c r="D567" s="12" t="s">
        <v>1612</v>
      </c>
      <c r="E567" s="13"/>
    </row>
    <row r="568" spans="1:5">
      <c r="A568" s="9">
        <v>1915</v>
      </c>
      <c r="B568" s="10" t="s">
        <v>421</v>
      </c>
      <c r="C568" s="11">
        <v>0.06</v>
      </c>
      <c r="D568" s="12" t="s">
        <v>1612</v>
      </c>
      <c r="E568" s="13"/>
    </row>
    <row r="569" spans="1:5">
      <c r="A569" s="9">
        <v>1916</v>
      </c>
      <c r="B569" s="10" t="s">
        <v>1452</v>
      </c>
      <c r="C569" s="11">
        <v>0.06</v>
      </c>
      <c r="D569" s="12" t="s">
        <v>1612</v>
      </c>
      <c r="E569" s="13"/>
    </row>
    <row r="570" spans="1:5">
      <c r="A570" s="9">
        <v>1631</v>
      </c>
      <c r="B570" s="10" t="s">
        <v>1453</v>
      </c>
      <c r="C570" s="11">
        <v>0.06</v>
      </c>
      <c r="D570" s="12" t="s">
        <v>1658</v>
      </c>
      <c r="E570" s="13" t="s">
        <v>1075</v>
      </c>
    </row>
    <row r="571" ht="21" spans="1:5">
      <c r="A571" s="9">
        <v>1625</v>
      </c>
      <c r="B571" s="10" t="s">
        <v>377</v>
      </c>
      <c r="C571" s="11">
        <v>0.06</v>
      </c>
      <c r="D571" s="12" t="s">
        <v>1576</v>
      </c>
      <c r="E571" s="13" t="s">
        <v>1075</v>
      </c>
    </row>
    <row r="572" ht="21" spans="1:5">
      <c r="A572" s="9">
        <v>1616</v>
      </c>
      <c r="B572" s="10" t="s">
        <v>173</v>
      </c>
      <c r="C572" s="11">
        <v>0.06</v>
      </c>
      <c r="D572" s="12" t="s">
        <v>1576</v>
      </c>
      <c r="E572" s="13" t="s">
        <v>1075</v>
      </c>
    </row>
    <row r="573" ht="21" spans="1:5">
      <c r="A573" s="9">
        <v>1622</v>
      </c>
      <c r="B573" s="10" t="s">
        <v>382</v>
      </c>
      <c r="C573" s="11">
        <v>0.06</v>
      </c>
      <c r="D573" s="12" t="s">
        <v>1576</v>
      </c>
      <c r="E573" s="13" t="s">
        <v>1075</v>
      </c>
    </row>
    <row r="574" ht="21" spans="1:5">
      <c r="A574" s="9">
        <v>1637</v>
      </c>
      <c r="B574" s="10" t="s">
        <v>367</v>
      </c>
      <c r="C574" s="11">
        <v>0.06</v>
      </c>
      <c r="D574" s="12" t="s">
        <v>1576</v>
      </c>
      <c r="E574" s="13" t="s">
        <v>1075</v>
      </c>
    </row>
    <row r="575" ht="21" spans="1:5">
      <c r="A575" s="9">
        <v>1640</v>
      </c>
      <c r="B575" s="10" t="s">
        <v>409</v>
      </c>
      <c r="C575" s="11">
        <v>0.06</v>
      </c>
      <c r="D575" s="12" t="s">
        <v>1576</v>
      </c>
      <c r="E575" s="13" t="s">
        <v>1075</v>
      </c>
    </row>
    <row r="576" ht="21" spans="1:5">
      <c r="A576" s="9">
        <v>1643</v>
      </c>
      <c r="B576" s="10" t="s">
        <v>1454</v>
      </c>
      <c r="C576" s="11">
        <v>0.06</v>
      </c>
      <c r="D576" s="12" t="s">
        <v>1576</v>
      </c>
      <c r="E576" s="13" t="s">
        <v>1075</v>
      </c>
    </row>
    <row r="577" spans="1:5">
      <c r="A577" s="9">
        <v>1939</v>
      </c>
      <c r="B577" s="10" t="s">
        <v>802</v>
      </c>
      <c r="C577" s="11">
        <v>0.06</v>
      </c>
      <c r="D577" s="12" t="s">
        <v>1612</v>
      </c>
      <c r="E577" s="13"/>
    </row>
    <row r="578" ht="21" spans="1:5">
      <c r="A578" s="9">
        <v>1653</v>
      </c>
      <c r="B578" s="10" t="s">
        <v>391</v>
      </c>
      <c r="C578" s="11">
        <v>0.06</v>
      </c>
      <c r="D578" s="12" t="s">
        <v>1576</v>
      </c>
      <c r="E578" s="13" t="s">
        <v>1075</v>
      </c>
    </row>
    <row r="579" spans="1:5">
      <c r="A579" s="9">
        <v>1628</v>
      </c>
      <c r="B579" s="10" t="s">
        <v>387</v>
      </c>
      <c r="C579" s="11">
        <v>0.06</v>
      </c>
      <c r="D579" s="12" t="s">
        <v>1658</v>
      </c>
      <c r="E579" s="13" t="s">
        <v>1075</v>
      </c>
    </row>
    <row r="580" spans="1:5">
      <c r="A580" s="9">
        <v>1634</v>
      </c>
      <c r="B580" s="10" t="s">
        <v>372</v>
      </c>
      <c r="C580" s="11">
        <v>0.06</v>
      </c>
      <c r="D580" s="12" t="s">
        <v>1612</v>
      </c>
      <c r="E580" s="13" t="s">
        <v>1075</v>
      </c>
    </row>
    <row r="581" spans="1:5">
      <c r="A581" s="9">
        <v>2886</v>
      </c>
      <c r="B581" s="55" t="s">
        <v>1455</v>
      </c>
      <c r="C581" s="11">
        <v>0.06</v>
      </c>
      <c r="D581" s="12" t="s">
        <v>1612</v>
      </c>
      <c r="E581" s="13"/>
    </row>
    <row r="582" spans="1:5">
      <c r="A582" s="9">
        <v>1706</v>
      </c>
      <c r="B582" s="10" t="s">
        <v>395</v>
      </c>
      <c r="C582" s="11">
        <v>0.06</v>
      </c>
      <c r="D582" s="12" t="s">
        <v>1658</v>
      </c>
      <c r="E582" s="13" t="s">
        <v>1075</v>
      </c>
    </row>
    <row r="583" spans="1:5">
      <c r="A583" s="9">
        <v>2686</v>
      </c>
      <c r="B583" s="27" t="s">
        <v>1456</v>
      </c>
      <c r="C583" s="11">
        <v>0.06</v>
      </c>
      <c r="D583" s="12" t="s">
        <v>1612</v>
      </c>
      <c r="E583" s="13"/>
    </row>
    <row r="584" spans="1:5">
      <c r="A584" s="9">
        <v>2692</v>
      </c>
      <c r="B584" s="27" t="s">
        <v>1457</v>
      </c>
      <c r="C584" s="11">
        <v>0.06</v>
      </c>
      <c r="D584" s="12" t="s">
        <v>1612</v>
      </c>
      <c r="E584" s="13"/>
    </row>
    <row r="585" spans="1:5">
      <c r="A585" s="9">
        <v>2486</v>
      </c>
      <c r="B585" s="10" t="s">
        <v>1458</v>
      </c>
      <c r="C585" s="11">
        <v>0.06</v>
      </c>
      <c r="D585" s="12" t="s">
        <v>1612</v>
      </c>
      <c r="E585" s="13"/>
    </row>
    <row r="586" spans="1:5">
      <c r="A586" s="9">
        <v>2443</v>
      </c>
      <c r="B586" s="54" t="s">
        <v>484</v>
      </c>
      <c r="C586" s="11">
        <v>0.06</v>
      </c>
      <c r="D586" s="12" t="s">
        <v>1612</v>
      </c>
      <c r="E586" s="13"/>
    </row>
    <row r="587" ht="21" spans="1:5">
      <c r="A587" s="9">
        <v>1981</v>
      </c>
      <c r="B587" s="10" t="s">
        <v>1459</v>
      </c>
      <c r="C587" s="11">
        <v>0.06</v>
      </c>
      <c r="D587" s="12" t="s">
        <v>1576</v>
      </c>
      <c r="E587" s="13"/>
    </row>
    <row r="588" ht="21" spans="1:5">
      <c r="A588" s="9">
        <v>2689</v>
      </c>
      <c r="B588" s="55" t="s">
        <v>1460</v>
      </c>
      <c r="C588" s="11">
        <v>0.06</v>
      </c>
      <c r="D588" s="12" t="s">
        <v>1576</v>
      </c>
      <c r="E588" s="13"/>
    </row>
    <row r="589" ht="21" spans="1:5">
      <c r="A589" s="9">
        <v>2690</v>
      </c>
      <c r="B589" s="55" t="s">
        <v>1461</v>
      </c>
      <c r="C589" s="11">
        <v>0.06</v>
      </c>
      <c r="D589" s="12" t="s">
        <v>1576</v>
      </c>
      <c r="E589" s="13"/>
    </row>
    <row r="590" ht="21" spans="1:5">
      <c r="A590" s="9">
        <v>2691</v>
      </c>
      <c r="B590" s="55" t="s">
        <v>1462</v>
      </c>
      <c r="C590" s="11">
        <v>0.06</v>
      </c>
      <c r="D590" s="12" t="s">
        <v>1576</v>
      </c>
      <c r="E590" s="13"/>
    </row>
    <row r="591" spans="1:5">
      <c r="A591" s="9">
        <v>1710</v>
      </c>
      <c r="B591" s="10" t="s">
        <v>1463</v>
      </c>
      <c r="C591" s="11">
        <v>0.06</v>
      </c>
      <c r="D591" s="12" t="s">
        <v>1612</v>
      </c>
      <c r="E591" s="13"/>
    </row>
    <row r="592" spans="1:5">
      <c r="A592" s="9">
        <v>2950</v>
      </c>
      <c r="B592" s="10" t="s">
        <v>1464</v>
      </c>
      <c r="C592" s="11">
        <v>0.06</v>
      </c>
      <c r="D592" s="12" t="s">
        <v>1612</v>
      </c>
      <c r="E592" s="13"/>
    </row>
    <row r="593" spans="1:5">
      <c r="A593" s="9">
        <v>1986</v>
      </c>
      <c r="B593" s="10" t="s">
        <v>432</v>
      </c>
      <c r="C593" s="11">
        <v>0.06</v>
      </c>
      <c r="D593" s="12" t="s">
        <v>1612</v>
      </c>
      <c r="E593" s="13"/>
    </row>
    <row r="594" spans="1:5">
      <c r="A594" s="9">
        <v>1991</v>
      </c>
      <c r="B594" s="10" t="s">
        <v>561</v>
      </c>
      <c r="C594" s="11">
        <v>0.06</v>
      </c>
      <c r="D594" s="12" t="s">
        <v>1612</v>
      </c>
      <c r="E594" s="13"/>
    </row>
    <row r="595" spans="1:5">
      <c r="A595" s="9">
        <v>1985</v>
      </c>
      <c r="B595" s="10" t="s">
        <v>1465</v>
      </c>
      <c r="C595" s="11">
        <v>0.06</v>
      </c>
      <c r="D595" s="12" t="s">
        <v>1612</v>
      </c>
      <c r="E595" s="13"/>
    </row>
    <row r="596" spans="1:5">
      <c r="A596" s="9">
        <v>2918</v>
      </c>
      <c r="B596" s="10" t="s">
        <v>1466</v>
      </c>
      <c r="C596" s="11">
        <v>0.06</v>
      </c>
      <c r="D596" s="12" t="s">
        <v>1612</v>
      </c>
      <c r="E596" s="13"/>
    </row>
    <row r="597" ht="31.5" spans="1:6">
      <c r="A597" s="20">
        <v>2408</v>
      </c>
      <c r="B597" s="56" t="s">
        <v>360</v>
      </c>
      <c r="C597" s="24" t="s">
        <v>1129</v>
      </c>
      <c r="D597" s="28" t="s">
        <v>1656</v>
      </c>
      <c r="E597" s="30" t="s">
        <v>1610</v>
      </c>
      <c r="F597" s="14" t="s">
        <v>1550</v>
      </c>
    </row>
    <row r="598" ht="21" spans="1:5">
      <c r="A598" s="57">
        <v>2928</v>
      </c>
      <c r="B598" s="58" t="s">
        <v>1467</v>
      </c>
      <c r="C598" s="59">
        <v>0.06</v>
      </c>
      <c r="D598" s="60" t="s">
        <v>1659</v>
      </c>
      <c r="E598" s="61"/>
    </row>
    <row r="599" ht="31.5" spans="1:6">
      <c r="A599" s="9">
        <v>2951</v>
      </c>
      <c r="B599" s="10" t="s">
        <v>1468</v>
      </c>
      <c r="C599" s="31" t="s">
        <v>1129</v>
      </c>
      <c r="D599" s="12" t="s">
        <v>1659</v>
      </c>
      <c r="E599" s="30" t="s">
        <v>1610</v>
      </c>
      <c r="F599" s="14" t="s">
        <v>1550</v>
      </c>
    </row>
    <row r="600" ht="31.5" spans="1:6">
      <c r="A600" s="9">
        <v>2952</v>
      </c>
      <c r="B600" s="10" t="s">
        <v>1469</v>
      </c>
      <c r="C600" s="31" t="s">
        <v>1129</v>
      </c>
      <c r="D600" s="12" t="s">
        <v>1659</v>
      </c>
      <c r="E600" s="30" t="s">
        <v>1610</v>
      </c>
      <c r="F600" s="14" t="s">
        <v>1550</v>
      </c>
    </row>
    <row r="601" ht="21" spans="1:5">
      <c r="A601" s="9">
        <v>1709</v>
      </c>
      <c r="B601" s="10" t="s">
        <v>1470</v>
      </c>
      <c r="C601" s="11">
        <v>0.06</v>
      </c>
      <c r="D601" s="12" t="s">
        <v>1576</v>
      </c>
      <c r="E601" s="13"/>
    </row>
    <row r="602" ht="31.5" spans="1:6">
      <c r="A602" s="15">
        <v>3196</v>
      </c>
      <c r="B602" s="16" t="s">
        <v>939</v>
      </c>
      <c r="C602" s="37" t="s">
        <v>1129</v>
      </c>
      <c r="D602" s="34" t="s">
        <v>1656</v>
      </c>
      <c r="E602" s="30" t="s">
        <v>1610</v>
      </c>
      <c r="F602" s="14" t="s">
        <v>1550</v>
      </c>
    </row>
    <row r="603" ht="31.5" spans="1:6">
      <c r="A603" s="15">
        <v>3225</v>
      </c>
      <c r="B603" s="16" t="s">
        <v>1471</v>
      </c>
      <c r="C603" s="37" t="s">
        <v>1129</v>
      </c>
      <c r="D603" s="62" t="s">
        <v>1656</v>
      </c>
      <c r="E603" s="30" t="s">
        <v>1610</v>
      </c>
      <c r="F603" s="14" t="s">
        <v>1550</v>
      </c>
    </row>
    <row r="604" spans="1:5">
      <c r="A604" s="15">
        <v>3226</v>
      </c>
      <c r="B604" s="16" t="s">
        <v>1472</v>
      </c>
      <c r="C604" s="33">
        <v>0.06</v>
      </c>
      <c r="D604" s="34" t="s">
        <v>1612</v>
      </c>
      <c r="E604" s="35"/>
    </row>
    <row r="605" spans="1:5">
      <c r="A605" s="15">
        <v>3227</v>
      </c>
      <c r="B605" s="16" t="s">
        <v>1473</v>
      </c>
      <c r="C605" s="33">
        <v>0.06</v>
      </c>
      <c r="D605" s="34" t="s">
        <v>1612</v>
      </c>
      <c r="E605" s="35"/>
    </row>
    <row r="606" ht="21" spans="1:5">
      <c r="A606" s="9">
        <v>2973</v>
      </c>
      <c r="B606" s="10" t="s">
        <v>1474</v>
      </c>
      <c r="C606" s="11">
        <v>0.06</v>
      </c>
      <c r="D606" s="12" t="s">
        <v>1576</v>
      </c>
      <c r="E606" s="13"/>
    </row>
    <row r="607" ht="31.5" spans="1:6">
      <c r="A607" s="15">
        <v>3192</v>
      </c>
      <c r="B607" s="16" t="s">
        <v>1476</v>
      </c>
      <c r="C607" s="33" t="s">
        <v>1475</v>
      </c>
      <c r="D607" s="18" t="s">
        <v>1660</v>
      </c>
      <c r="E607" s="30" t="s">
        <v>1610</v>
      </c>
      <c r="F607" s="14" t="s">
        <v>1550</v>
      </c>
    </row>
    <row r="608" ht="31.5" spans="1:6">
      <c r="A608" s="9">
        <v>2861</v>
      </c>
      <c r="B608" s="10" t="s">
        <v>711</v>
      </c>
      <c r="C608" s="63" t="s">
        <v>1475</v>
      </c>
      <c r="D608" s="64" t="s">
        <v>1660</v>
      </c>
      <c r="E608" s="30" t="s">
        <v>1610</v>
      </c>
      <c r="F608" s="14" t="s">
        <v>1550</v>
      </c>
    </row>
    <row r="609" spans="1:5">
      <c r="A609" s="57">
        <v>2862</v>
      </c>
      <c r="B609" s="58" t="s">
        <v>941</v>
      </c>
      <c r="C609" s="59">
        <v>0.06</v>
      </c>
      <c r="D609" s="60" t="s">
        <v>1612</v>
      </c>
      <c r="E609" s="61"/>
    </row>
    <row r="610" ht="31.5" spans="1:6">
      <c r="A610" s="9">
        <v>2895</v>
      </c>
      <c r="B610" s="10" t="s">
        <v>1477</v>
      </c>
      <c r="C610" s="65" t="s">
        <v>1475</v>
      </c>
      <c r="D610" s="12" t="s">
        <v>1660</v>
      </c>
      <c r="E610" s="30" t="s">
        <v>1610</v>
      </c>
      <c r="F610" s="14" t="s">
        <v>1550</v>
      </c>
    </row>
    <row r="611" ht="42" spans="1:6">
      <c r="A611" s="9">
        <v>3149</v>
      </c>
      <c r="B611" s="10" t="s">
        <v>546</v>
      </c>
      <c r="C611" s="65" t="s">
        <v>1475</v>
      </c>
      <c r="D611" s="12" t="s">
        <v>1661</v>
      </c>
      <c r="E611" s="30" t="s">
        <v>1610</v>
      </c>
      <c r="F611" s="14" t="s">
        <v>1550</v>
      </c>
    </row>
    <row r="612" ht="42" spans="1:6">
      <c r="A612" s="9">
        <v>3150</v>
      </c>
      <c r="B612" s="10" t="s">
        <v>1478</v>
      </c>
      <c r="C612" s="65" t="s">
        <v>1475</v>
      </c>
      <c r="D612" s="12" t="s">
        <v>1661</v>
      </c>
      <c r="E612" s="30" t="s">
        <v>1610</v>
      </c>
      <c r="F612" s="14" t="s">
        <v>1550</v>
      </c>
    </row>
    <row r="613" ht="42" spans="1:6">
      <c r="A613" s="9">
        <v>2915</v>
      </c>
      <c r="B613" s="10" t="s">
        <v>1479</v>
      </c>
      <c r="C613" s="65" t="s">
        <v>1475</v>
      </c>
      <c r="D613" s="12" t="s">
        <v>1661</v>
      </c>
      <c r="E613" s="30" t="s">
        <v>1610</v>
      </c>
      <c r="F613" s="14" t="s">
        <v>1550</v>
      </c>
    </row>
    <row r="614" ht="42" spans="1:6">
      <c r="A614" s="9">
        <v>2916</v>
      </c>
      <c r="B614" s="10" t="s">
        <v>1480</v>
      </c>
      <c r="C614" s="65" t="s">
        <v>1475</v>
      </c>
      <c r="D614" s="12" t="s">
        <v>1661</v>
      </c>
      <c r="E614" s="30" t="s">
        <v>1610</v>
      </c>
      <c r="F614" s="14" t="s">
        <v>1550</v>
      </c>
    </row>
    <row r="615" ht="42" spans="1:6">
      <c r="A615" s="9">
        <v>2450</v>
      </c>
      <c r="B615" s="10" t="s">
        <v>1481</v>
      </c>
      <c r="C615" s="65" t="s">
        <v>1475</v>
      </c>
      <c r="D615" s="12" t="s">
        <v>1661</v>
      </c>
      <c r="E615" s="30" t="s">
        <v>1610</v>
      </c>
      <c r="F615" s="14" t="s">
        <v>1550</v>
      </c>
    </row>
    <row r="616" ht="42" spans="1:6">
      <c r="A616" s="9">
        <v>1677</v>
      </c>
      <c r="B616" s="10" t="s">
        <v>1482</v>
      </c>
      <c r="C616" s="65" t="s">
        <v>1475</v>
      </c>
      <c r="D616" s="12" t="s">
        <v>1661</v>
      </c>
      <c r="E616" s="30" t="s">
        <v>1610</v>
      </c>
      <c r="F616" s="14" t="s">
        <v>1550</v>
      </c>
    </row>
    <row r="617" ht="42" spans="1:6">
      <c r="A617" s="9">
        <v>1678</v>
      </c>
      <c r="B617" s="10" t="s">
        <v>402</v>
      </c>
      <c r="C617" s="65" t="s">
        <v>1475</v>
      </c>
      <c r="D617" s="12" t="s">
        <v>1661</v>
      </c>
      <c r="E617" s="30" t="s">
        <v>1610</v>
      </c>
      <c r="F617" s="14" t="s">
        <v>1550</v>
      </c>
    </row>
    <row r="618" ht="42" spans="1:6">
      <c r="A618" s="9">
        <v>2917</v>
      </c>
      <c r="B618" s="54" t="s">
        <v>675</v>
      </c>
      <c r="C618" s="65" t="s">
        <v>1475</v>
      </c>
      <c r="D618" s="12" t="s">
        <v>1661</v>
      </c>
      <c r="E618" s="30" t="s">
        <v>1610</v>
      </c>
      <c r="F618" s="14" t="s">
        <v>1550</v>
      </c>
    </row>
    <row r="619" ht="42" spans="1:6">
      <c r="A619" s="9">
        <v>2914</v>
      </c>
      <c r="B619" s="10" t="s">
        <v>346</v>
      </c>
      <c r="C619" s="65" t="s">
        <v>1475</v>
      </c>
      <c r="D619" s="12" t="s">
        <v>1661</v>
      </c>
      <c r="E619" s="30" t="s">
        <v>1610</v>
      </c>
      <c r="F619" s="14" t="s">
        <v>1550</v>
      </c>
    </row>
    <row r="620" ht="42" spans="1:6">
      <c r="A620" s="20">
        <v>3131</v>
      </c>
      <c r="B620" s="21" t="s">
        <v>943</v>
      </c>
      <c r="C620" s="24" t="s">
        <v>1475</v>
      </c>
      <c r="D620" s="28" t="s">
        <v>1661</v>
      </c>
      <c r="E620" s="30" t="s">
        <v>1610</v>
      </c>
      <c r="F620" s="14" t="s">
        <v>1550</v>
      </c>
    </row>
    <row r="621" ht="21" spans="1:5">
      <c r="A621" s="9">
        <v>1708</v>
      </c>
      <c r="B621" s="10" t="s">
        <v>355</v>
      </c>
      <c r="C621" s="11">
        <v>0.06</v>
      </c>
      <c r="D621" s="12" t="s">
        <v>1576</v>
      </c>
      <c r="E621" s="13"/>
    </row>
    <row r="622" ht="21" spans="1:5">
      <c r="A622" s="9">
        <v>2887</v>
      </c>
      <c r="B622" s="10" t="s">
        <v>1483</v>
      </c>
      <c r="C622" s="11">
        <v>0.06</v>
      </c>
      <c r="D622" s="12" t="s">
        <v>1576</v>
      </c>
      <c r="E622" s="13"/>
    </row>
    <row r="623" spans="1:5">
      <c r="A623" s="9">
        <v>1733</v>
      </c>
      <c r="B623" s="10" t="s">
        <v>1484</v>
      </c>
      <c r="C623" s="11">
        <v>0.06</v>
      </c>
      <c r="D623" s="12" t="s">
        <v>1612</v>
      </c>
      <c r="E623" s="13"/>
    </row>
    <row r="624" spans="1:5">
      <c r="A624" s="9">
        <v>3046</v>
      </c>
      <c r="B624" s="10" t="s">
        <v>1485</v>
      </c>
      <c r="C624" s="11">
        <v>0.06</v>
      </c>
      <c r="D624" s="12" t="s">
        <v>1662</v>
      </c>
      <c r="E624" s="13"/>
    </row>
    <row r="625" spans="1:5">
      <c r="A625" s="15">
        <v>3197</v>
      </c>
      <c r="B625" s="16" t="s">
        <v>1486</v>
      </c>
      <c r="C625" s="37">
        <v>0.13</v>
      </c>
      <c r="D625" s="34" t="s">
        <v>1663</v>
      </c>
      <c r="E625" s="66"/>
    </row>
    <row r="626" spans="1:5">
      <c r="A626" s="15">
        <v>3198</v>
      </c>
      <c r="B626" s="16" t="s">
        <v>1487</v>
      </c>
      <c r="C626" s="37">
        <v>0.13</v>
      </c>
      <c r="D626" s="34" t="s">
        <v>1663</v>
      </c>
      <c r="E626" s="66"/>
    </row>
    <row r="627" spans="1:5">
      <c r="A627" s="15">
        <v>3199</v>
      </c>
      <c r="B627" s="16" t="s">
        <v>1488</v>
      </c>
      <c r="C627" s="37">
        <v>0.13</v>
      </c>
      <c r="D627" s="34" t="s">
        <v>1663</v>
      </c>
      <c r="E627" s="66"/>
    </row>
    <row r="628" spans="1:5">
      <c r="A628" s="15">
        <v>3200</v>
      </c>
      <c r="B628" s="16" t="s">
        <v>1489</v>
      </c>
      <c r="C628" s="37">
        <v>0.13</v>
      </c>
      <c r="D628" s="34" t="s">
        <v>1663</v>
      </c>
      <c r="E628" s="66"/>
    </row>
    <row r="629" spans="1:5">
      <c r="A629" s="15">
        <v>3201</v>
      </c>
      <c r="B629" s="16" t="s">
        <v>1490</v>
      </c>
      <c r="C629" s="37">
        <v>0.13</v>
      </c>
      <c r="D629" s="34" t="s">
        <v>1663</v>
      </c>
      <c r="E629" s="66"/>
    </row>
    <row r="630" spans="1:5">
      <c r="A630" s="15">
        <v>3202</v>
      </c>
      <c r="B630" s="16" t="s">
        <v>1491</v>
      </c>
      <c r="C630" s="37">
        <v>0.13</v>
      </c>
      <c r="D630" s="34" t="s">
        <v>1663</v>
      </c>
      <c r="E630" s="66"/>
    </row>
    <row r="631" spans="1:5">
      <c r="A631" s="15">
        <v>3203</v>
      </c>
      <c r="B631" s="16" t="s">
        <v>1492</v>
      </c>
      <c r="C631" s="37">
        <v>0.13</v>
      </c>
      <c r="D631" s="34" t="s">
        <v>1663</v>
      </c>
      <c r="E631" s="66"/>
    </row>
    <row r="632" spans="1:5">
      <c r="A632" s="15">
        <v>3204</v>
      </c>
      <c r="B632" s="16" t="s">
        <v>1493</v>
      </c>
      <c r="C632" s="37">
        <v>0.13</v>
      </c>
      <c r="D632" s="34" t="s">
        <v>1663</v>
      </c>
      <c r="E632" s="66"/>
    </row>
    <row r="633" spans="1:5">
      <c r="A633" s="15">
        <v>3205</v>
      </c>
      <c r="B633" s="16" t="s">
        <v>1494</v>
      </c>
      <c r="C633" s="37">
        <v>0.13</v>
      </c>
      <c r="D633" s="34" t="s">
        <v>1663</v>
      </c>
      <c r="E633" s="66"/>
    </row>
    <row r="634" spans="1:5">
      <c r="A634" s="15">
        <v>3206</v>
      </c>
      <c r="B634" s="16" t="s">
        <v>1495</v>
      </c>
      <c r="C634" s="37">
        <v>0.13</v>
      </c>
      <c r="D634" s="34" t="s">
        <v>1663</v>
      </c>
      <c r="E634" s="66"/>
    </row>
    <row r="635" spans="1:5">
      <c r="A635" s="15">
        <v>3207</v>
      </c>
      <c r="B635" s="16" t="s">
        <v>1496</v>
      </c>
      <c r="C635" s="37">
        <v>0.13</v>
      </c>
      <c r="D635" s="34" t="s">
        <v>1663</v>
      </c>
      <c r="E635" s="66"/>
    </row>
    <row r="636" spans="1:5">
      <c r="A636" s="15">
        <v>3208</v>
      </c>
      <c r="B636" s="16" t="s">
        <v>1497</v>
      </c>
      <c r="C636" s="37">
        <v>0.13</v>
      </c>
      <c r="D636" s="34" t="s">
        <v>1663</v>
      </c>
      <c r="E636" s="66"/>
    </row>
    <row r="637" spans="1:5">
      <c r="A637" s="15">
        <v>3209</v>
      </c>
      <c r="B637" s="16" t="s">
        <v>1498</v>
      </c>
      <c r="C637" s="37">
        <v>0.13</v>
      </c>
      <c r="D637" s="34" t="s">
        <v>1663</v>
      </c>
      <c r="E637" s="66"/>
    </row>
    <row r="638" spans="1:5">
      <c r="A638" s="15">
        <v>3210</v>
      </c>
      <c r="B638" s="16" t="s">
        <v>1499</v>
      </c>
      <c r="C638" s="37">
        <v>0.13</v>
      </c>
      <c r="D638" s="34" t="s">
        <v>1663</v>
      </c>
      <c r="E638" s="66"/>
    </row>
    <row r="639" spans="1:5">
      <c r="A639" s="15">
        <v>3211</v>
      </c>
      <c r="B639" s="16" t="s">
        <v>1500</v>
      </c>
      <c r="C639" s="37">
        <v>0.13</v>
      </c>
      <c r="D639" s="34" t="s">
        <v>1663</v>
      </c>
      <c r="E639" s="66"/>
    </row>
    <row r="640" spans="1:5">
      <c r="A640" s="15">
        <v>3212</v>
      </c>
      <c r="B640" s="16" t="s">
        <v>137</v>
      </c>
      <c r="C640" s="37">
        <v>0.13</v>
      </c>
      <c r="D640" s="34" t="s">
        <v>1663</v>
      </c>
      <c r="E640" s="66"/>
    </row>
    <row r="641" spans="1:5">
      <c r="A641" s="15">
        <v>3213</v>
      </c>
      <c r="B641" s="16" t="s">
        <v>1501</v>
      </c>
      <c r="C641" s="37">
        <v>0.13</v>
      </c>
      <c r="D641" s="34" t="s">
        <v>1663</v>
      </c>
      <c r="E641" s="66"/>
    </row>
    <row r="642" spans="1:5">
      <c r="A642" s="15">
        <v>3214</v>
      </c>
      <c r="B642" s="16" t="s">
        <v>1502</v>
      </c>
      <c r="C642" s="37">
        <v>0.13</v>
      </c>
      <c r="D642" s="34" t="s">
        <v>1663</v>
      </c>
      <c r="E642" s="66"/>
    </row>
    <row r="643" spans="1:5">
      <c r="A643" s="9">
        <v>1747</v>
      </c>
      <c r="B643" s="10" t="s">
        <v>1503</v>
      </c>
      <c r="C643" s="11">
        <v>0.06</v>
      </c>
      <c r="D643" s="12" t="s">
        <v>1664</v>
      </c>
      <c r="E643" s="13"/>
    </row>
    <row r="644" ht="31.5" spans="1:6">
      <c r="A644" s="9">
        <v>1750</v>
      </c>
      <c r="B644" s="10" t="s">
        <v>1504</v>
      </c>
      <c r="C644" s="11" t="s">
        <v>1075</v>
      </c>
      <c r="D644" s="12" t="s">
        <v>1075</v>
      </c>
      <c r="E644" s="30" t="s">
        <v>1610</v>
      </c>
      <c r="F644" s="14" t="s">
        <v>1550</v>
      </c>
    </row>
    <row r="645" spans="1:5">
      <c r="A645" s="9">
        <v>1752</v>
      </c>
      <c r="B645" s="10" t="s">
        <v>1505</v>
      </c>
      <c r="C645" s="11">
        <v>0.06</v>
      </c>
      <c r="D645" s="12" t="s">
        <v>1665</v>
      </c>
      <c r="E645" s="13" t="s">
        <v>1075</v>
      </c>
    </row>
    <row r="646" ht="21" spans="1:6">
      <c r="A646" s="9">
        <v>1753</v>
      </c>
      <c r="B646" s="10" t="s">
        <v>1506</v>
      </c>
      <c r="C646" s="11" t="s">
        <v>1058</v>
      </c>
      <c r="D646" s="12" t="s">
        <v>1666</v>
      </c>
      <c r="E646" s="36" t="s">
        <v>1614</v>
      </c>
      <c r="F646" s="14" t="s">
        <v>1550</v>
      </c>
    </row>
    <row r="647" ht="21" spans="1:6">
      <c r="A647" s="9">
        <v>1754</v>
      </c>
      <c r="B647" s="10" t="s">
        <v>1508</v>
      </c>
      <c r="C647" s="11" t="s">
        <v>1507</v>
      </c>
      <c r="D647" s="12" t="s">
        <v>1622</v>
      </c>
      <c r="E647" s="36" t="s">
        <v>1614</v>
      </c>
      <c r="F647" s="14" t="s">
        <v>1550</v>
      </c>
    </row>
    <row r="648" ht="31.5" spans="1:6">
      <c r="A648" s="9">
        <v>1755</v>
      </c>
      <c r="B648" s="10" t="s">
        <v>1509</v>
      </c>
      <c r="C648" s="11" t="s">
        <v>1075</v>
      </c>
      <c r="D648" s="12" t="s">
        <v>1075</v>
      </c>
      <c r="E648" s="30" t="s">
        <v>1610</v>
      </c>
      <c r="F648" s="14" t="s">
        <v>1550</v>
      </c>
    </row>
    <row r="649" ht="21" spans="1:6">
      <c r="A649" s="9">
        <v>1761</v>
      </c>
      <c r="B649" s="10" t="s">
        <v>1510</v>
      </c>
      <c r="C649" s="11" t="s">
        <v>1507</v>
      </c>
      <c r="D649" s="12" t="s">
        <v>1667</v>
      </c>
      <c r="E649" s="36" t="s">
        <v>1614</v>
      </c>
      <c r="F649" s="14" t="s">
        <v>1550</v>
      </c>
    </row>
    <row r="650" spans="1:5">
      <c r="A650" s="9">
        <v>1762</v>
      </c>
      <c r="B650" s="10" t="s">
        <v>1511</v>
      </c>
      <c r="C650" s="11">
        <v>0.13</v>
      </c>
      <c r="D650" s="12" t="s">
        <v>1668</v>
      </c>
      <c r="E650" s="13" t="s">
        <v>1075</v>
      </c>
    </row>
    <row r="651" ht="21" spans="1:6">
      <c r="A651" s="9">
        <v>1763</v>
      </c>
      <c r="B651" s="10" t="s">
        <v>129</v>
      </c>
      <c r="C651" s="11" t="s">
        <v>1058</v>
      </c>
      <c r="D651" s="12" t="s">
        <v>1666</v>
      </c>
      <c r="E651" s="36" t="s">
        <v>1614</v>
      </c>
      <c r="F651" s="14" t="s">
        <v>1669</v>
      </c>
    </row>
    <row r="652" spans="1:5">
      <c r="A652" s="9">
        <v>1764</v>
      </c>
      <c r="B652" s="10" t="s">
        <v>1512</v>
      </c>
      <c r="C652" s="11">
        <v>0.13</v>
      </c>
      <c r="D652" s="12" t="s">
        <v>1663</v>
      </c>
      <c r="E652" s="13" t="s">
        <v>1075</v>
      </c>
    </row>
    <row r="653" ht="31.5" spans="1:6">
      <c r="A653" s="9">
        <v>1765</v>
      </c>
      <c r="B653" s="10" t="s">
        <v>947</v>
      </c>
      <c r="C653" s="11" t="s">
        <v>1075</v>
      </c>
      <c r="D653" s="12" t="s">
        <v>1075</v>
      </c>
      <c r="E653" s="30" t="s">
        <v>1610</v>
      </c>
      <c r="F653" s="14" t="s">
        <v>1550</v>
      </c>
    </row>
    <row r="654" spans="1:5">
      <c r="A654" s="15">
        <v>3215</v>
      </c>
      <c r="B654" s="16" t="s">
        <v>1513</v>
      </c>
      <c r="C654" s="37">
        <v>0.13</v>
      </c>
      <c r="D654" s="34" t="s">
        <v>1663</v>
      </c>
      <c r="E654" s="66"/>
    </row>
    <row r="655" spans="1:5">
      <c r="A655" s="15">
        <v>3216</v>
      </c>
      <c r="B655" s="16" t="s">
        <v>1514</v>
      </c>
      <c r="C655" s="37">
        <v>0.13</v>
      </c>
      <c r="D655" s="34" t="s">
        <v>1663</v>
      </c>
      <c r="E655" s="66"/>
    </row>
    <row r="656" spans="1:5">
      <c r="A656" s="15">
        <v>3217</v>
      </c>
      <c r="B656" s="16" t="s">
        <v>1515</v>
      </c>
      <c r="C656" s="37">
        <v>0.13</v>
      </c>
      <c r="D656" s="34" t="s">
        <v>1663</v>
      </c>
      <c r="E656" s="66"/>
    </row>
    <row r="657" spans="1:5">
      <c r="A657" s="15">
        <v>3218</v>
      </c>
      <c r="B657" s="16" t="s">
        <v>1516</v>
      </c>
      <c r="C657" s="37">
        <v>0.13</v>
      </c>
      <c r="D657" s="34" t="s">
        <v>1663</v>
      </c>
      <c r="E657" s="66"/>
    </row>
    <row r="658" spans="1:5">
      <c r="A658" s="15">
        <v>3219</v>
      </c>
      <c r="B658" s="16" t="s">
        <v>1517</v>
      </c>
      <c r="C658" s="37">
        <v>0.13</v>
      </c>
      <c r="D658" s="34" t="s">
        <v>1663</v>
      </c>
      <c r="E658" s="66"/>
    </row>
    <row r="659" spans="1:5">
      <c r="A659" s="15">
        <v>3220</v>
      </c>
      <c r="B659" s="16" t="s">
        <v>1518</v>
      </c>
      <c r="C659" s="37">
        <v>0.13</v>
      </c>
      <c r="D659" s="34" t="s">
        <v>1663</v>
      </c>
      <c r="E659" s="66"/>
    </row>
    <row r="660" spans="1:5">
      <c r="A660" s="15">
        <v>3221</v>
      </c>
      <c r="B660" s="16" t="s">
        <v>1519</v>
      </c>
      <c r="C660" s="37">
        <v>0.13</v>
      </c>
      <c r="D660" s="34" t="s">
        <v>1663</v>
      </c>
      <c r="E660" s="66"/>
    </row>
    <row r="661" spans="1:5">
      <c r="A661" s="15">
        <v>3222</v>
      </c>
      <c r="B661" s="16" t="s">
        <v>1520</v>
      </c>
      <c r="C661" s="37">
        <v>0.13</v>
      </c>
      <c r="D661" s="34" t="s">
        <v>1663</v>
      </c>
      <c r="E661" s="66"/>
    </row>
    <row r="662" spans="1:5">
      <c r="A662" s="15">
        <v>3223</v>
      </c>
      <c r="B662" s="16" t="s">
        <v>1521</v>
      </c>
      <c r="C662" s="37">
        <v>0.13</v>
      </c>
      <c r="D662" s="34" t="s">
        <v>1663</v>
      </c>
      <c r="E662" s="66"/>
    </row>
    <row r="663" spans="1:5">
      <c r="A663" s="15">
        <v>3224</v>
      </c>
      <c r="B663" s="16" t="s">
        <v>1522</v>
      </c>
      <c r="C663" s="37">
        <v>0.13</v>
      </c>
      <c r="D663" s="34" t="s">
        <v>1663</v>
      </c>
      <c r="E663" s="66"/>
    </row>
    <row r="664" spans="1:5">
      <c r="A664" s="9">
        <v>1777</v>
      </c>
      <c r="B664" s="10" t="s">
        <v>1523</v>
      </c>
      <c r="C664" s="11">
        <v>0.09</v>
      </c>
      <c r="D664" s="12" t="s">
        <v>1615</v>
      </c>
      <c r="E664" s="13" t="s">
        <v>1075</v>
      </c>
    </row>
    <row r="665" spans="1:5">
      <c r="A665" s="9">
        <v>1778</v>
      </c>
      <c r="B665" s="10" t="s">
        <v>1524</v>
      </c>
      <c r="C665" s="11">
        <v>0.06</v>
      </c>
      <c r="D665" s="12" t="s">
        <v>1670</v>
      </c>
      <c r="E665" s="13" t="s">
        <v>1075</v>
      </c>
    </row>
    <row r="666" ht="52.5" spans="1:6">
      <c r="A666" s="9">
        <v>1779</v>
      </c>
      <c r="B666" s="10" t="s">
        <v>1525</v>
      </c>
      <c r="C666" s="67"/>
      <c r="D666" s="12" t="s">
        <v>1075</v>
      </c>
      <c r="E666" s="13" t="s">
        <v>1671</v>
      </c>
      <c r="F666" s="14" t="s">
        <v>1550</v>
      </c>
    </row>
    <row r="667" spans="1:6">
      <c r="A667" s="9">
        <v>3133</v>
      </c>
      <c r="B667" s="68" t="s">
        <v>1526</v>
      </c>
      <c r="C667" s="69"/>
      <c r="D667" s="12"/>
      <c r="E667" s="70"/>
      <c r="F667" s="14" t="s">
        <v>1550</v>
      </c>
    </row>
    <row r="668" spans="1:6">
      <c r="A668" s="9">
        <v>3134</v>
      </c>
      <c r="B668" s="68" t="s">
        <v>1527</v>
      </c>
      <c r="C668" s="69"/>
      <c r="D668" s="12"/>
      <c r="E668" s="70"/>
      <c r="F668" s="14" t="s">
        <v>1550</v>
      </c>
    </row>
    <row r="669" spans="1:6">
      <c r="A669" s="9">
        <v>3136</v>
      </c>
      <c r="B669" s="68" t="s">
        <v>1528</v>
      </c>
      <c r="C669" s="69"/>
      <c r="D669" s="12"/>
      <c r="E669" s="70"/>
      <c r="F669" s="14" t="s">
        <v>1550</v>
      </c>
    </row>
    <row r="670" spans="1:6">
      <c r="A670" s="9">
        <v>3137</v>
      </c>
      <c r="B670" s="68" t="s">
        <v>1529</v>
      </c>
      <c r="C670" s="69"/>
      <c r="D670" s="12"/>
      <c r="E670" s="70"/>
      <c r="F670" s="14" t="s">
        <v>1550</v>
      </c>
    </row>
    <row r="671" spans="1:6">
      <c r="A671" s="71">
        <v>1221</v>
      </c>
      <c r="B671" s="10" t="s">
        <v>142</v>
      </c>
      <c r="C671" s="72"/>
      <c r="D671" s="73"/>
      <c r="E671" s="73"/>
      <c r="F671" s="14" t="s">
        <v>1550</v>
      </c>
    </row>
    <row r="672" spans="1:6">
      <c r="A672" s="71">
        <v>1738</v>
      </c>
      <c r="B672" s="10" t="s">
        <v>176</v>
      </c>
      <c r="C672" s="72"/>
      <c r="D672" s="73"/>
      <c r="E672" s="73"/>
      <c r="F672" s="14" t="s">
        <v>1550</v>
      </c>
    </row>
    <row r="673" spans="1:6">
      <c r="A673" s="71">
        <v>1249</v>
      </c>
      <c r="B673" s="10" t="s">
        <v>190</v>
      </c>
      <c r="C673" s="72"/>
      <c r="D673" s="73"/>
      <c r="E673" s="73"/>
      <c r="F673" s="14" t="s">
        <v>1550</v>
      </c>
    </row>
    <row r="674" spans="1:6">
      <c r="A674" s="71">
        <v>1005</v>
      </c>
      <c r="B674" s="10" t="s">
        <v>226</v>
      </c>
      <c r="C674" s="72"/>
      <c r="D674" s="73"/>
      <c r="E674" s="73"/>
      <c r="F674" s="14" t="s">
        <v>1550</v>
      </c>
    </row>
    <row r="675" spans="1:6">
      <c r="A675" s="71">
        <v>9999</v>
      </c>
      <c r="B675" s="10" t="s">
        <v>357</v>
      </c>
      <c r="C675" s="72"/>
      <c r="D675" s="73"/>
      <c r="E675" s="73"/>
      <c r="F675" s="14" t="s">
        <v>1550</v>
      </c>
    </row>
    <row r="676" spans="1:6">
      <c r="A676" s="74">
        <v>2694</v>
      </c>
      <c r="B676" s="21" t="s">
        <v>833</v>
      </c>
      <c r="C676" s="75">
        <v>0.06</v>
      </c>
      <c r="D676" s="25" t="s">
        <v>1612</v>
      </c>
      <c r="E676" s="23"/>
      <c r="F676" s="76" t="s">
        <v>1672</v>
      </c>
    </row>
    <row r="677" ht="31.5" spans="1:6">
      <c r="A677" s="77">
        <v>3235</v>
      </c>
      <c r="B677" s="78" t="s">
        <v>1530</v>
      </c>
      <c r="C677" s="79"/>
      <c r="D677" s="79"/>
      <c r="E677" s="79" t="s">
        <v>1610</v>
      </c>
      <c r="F677" s="76" t="s">
        <v>1672</v>
      </c>
    </row>
    <row r="678" ht="52.5" spans="1:6">
      <c r="A678" s="80">
        <v>2758</v>
      </c>
      <c r="B678" s="81" t="s">
        <v>885</v>
      </c>
      <c r="C678" s="82" t="s">
        <v>1129</v>
      </c>
      <c r="D678" s="83" t="s">
        <v>1610</v>
      </c>
      <c r="E678" s="84" t="s">
        <v>1621</v>
      </c>
      <c r="F678" s="76" t="s">
        <v>1672</v>
      </c>
    </row>
  </sheetData>
  <autoFilter ref="A1:G678">
    <extLst/>
  </autoFilter>
  <conditionalFormatting sqref="A350">
    <cfRule type="duplicateValues" dxfId="3" priority="313"/>
  </conditionalFormatting>
  <conditionalFormatting sqref="A351">
    <cfRule type="duplicateValues" dxfId="3" priority="312"/>
  </conditionalFormatting>
  <conditionalFormatting sqref="A352">
    <cfRule type="duplicateValues" dxfId="3" priority="311"/>
  </conditionalFormatting>
  <conditionalFormatting sqref="A353">
    <cfRule type="duplicateValues" dxfId="3" priority="310"/>
  </conditionalFormatting>
  <conditionalFormatting sqref="A354">
    <cfRule type="duplicateValues" dxfId="3" priority="309"/>
  </conditionalFormatting>
  <conditionalFormatting sqref="A355">
    <cfRule type="duplicateValues" dxfId="3" priority="308"/>
  </conditionalFormatting>
  <conditionalFormatting sqref="A356">
    <cfRule type="duplicateValues" dxfId="3" priority="307"/>
  </conditionalFormatting>
  <conditionalFormatting sqref="A357">
    <cfRule type="duplicateValues" dxfId="3" priority="306"/>
  </conditionalFormatting>
  <conditionalFormatting sqref="A358">
    <cfRule type="duplicateValues" dxfId="3" priority="305"/>
  </conditionalFormatting>
  <conditionalFormatting sqref="A359">
    <cfRule type="duplicateValues" dxfId="3" priority="304"/>
  </conditionalFormatting>
  <conditionalFormatting sqref="A360">
    <cfRule type="duplicateValues" dxfId="3" priority="303"/>
  </conditionalFormatting>
  <conditionalFormatting sqref="A361">
    <cfRule type="duplicateValues" dxfId="3" priority="302"/>
  </conditionalFormatting>
  <conditionalFormatting sqref="A362">
    <cfRule type="duplicateValues" dxfId="3" priority="301"/>
  </conditionalFormatting>
  <conditionalFormatting sqref="A363">
    <cfRule type="duplicateValues" dxfId="3" priority="300"/>
  </conditionalFormatting>
  <conditionalFormatting sqref="A364">
    <cfRule type="duplicateValues" dxfId="3" priority="299"/>
  </conditionalFormatting>
  <conditionalFormatting sqref="A365">
    <cfRule type="duplicateValues" dxfId="3" priority="298"/>
  </conditionalFormatting>
  <conditionalFormatting sqref="A366">
    <cfRule type="duplicateValues" dxfId="3" priority="297"/>
  </conditionalFormatting>
  <conditionalFormatting sqref="A367">
    <cfRule type="duplicateValues" dxfId="3" priority="296"/>
  </conditionalFormatting>
  <conditionalFormatting sqref="A368">
    <cfRule type="duplicateValues" dxfId="3" priority="295"/>
  </conditionalFormatting>
  <conditionalFormatting sqref="A369">
    <cfRule type="duplicateValues" dxfId="3" priority="294"/>
  </conditionalFormatting>
  <conditionalFormatting sqref="A370">
    <cfRule type="duplicateValues" dxfId="3" priority="293"/>
  </conditionalFormatting>
  <conditionalFormatting sqref="A371">
    <cfRule type="duplicateValues" dxfId="3" priority="292"/>
  </conditionalFormatting>
  <conditionalFormatting sqref="A372">
    <cfRule type="duplicateValues" dxfId="3" priority="291"/>
  </conditionalFormatting>
  <conditionalFormatting sqref="A373">
    <cfRule type="duplicateValues" dxfId="3" priority="290"/>
  </conditionalFormatting>
  <conditionalFormatting sqref="A374">
    <cfRule type="duplicateValues" dxfId="3" priority="289"/>
  </conditionalFormatting>
  <conditionalFormatting sqref="A375">
    <cfRule type="duplicateValues" dxfId="3" priority="288"/>
  </conditionalFormatting>
  <conditionalFormatting sqref="A376">
    <cfRule type="duplicateValues" dxfId="3" priority="287"/>
  </conditionalFormatting>
  <conditionalFormatting sqref="A377">
    <cfRule type="duplicateValues" dxfId="3" priority="286"/>
  </conditionalFormatting>
  <conditionalFormatting sqref="A378">
    <cfRule type="duplicateValues" dxfId="3" priority="285"/>
  </conditionalFormatting>
  <conditionalFormatting sqref="A379">
    <cfRule type="duplicateValues" dxfId="3" priority="284"/>
  </conditionalFormatting>
  <conditionalFormatting sqref="A380">
    <cfRule type="duplicateValues" dxfId="3" priority="283"/>
  </conditionalFormatting>
  <conditionalFormatting sqref="A381">
    <cfRule type="duplicateValues" dxfId="3" priority="282"/>
  </conditionalFormatting>
  <conditionalFormatting sqref="A382">
    <cfRule type="duplicateValues" dxfId="3" priority="281"/>
  </conditionalFormatting>
  <conditionalFormatting sqref="A383">
    <cfRule type="duplicateValues" dxfId="3" priority="278"/>
  </conditionalFormatting>
  <conditionalFormatting sqref="A384">
    <cfRule type="duplicateValues" dxfId="3" priority="277"/>
  </conditionalFormatting>
  <conditionalFormatting sqref="A385">
    <cfRule type="duplicateValues" dxfId="3" priority="276"/>
  </conditionalFormatting>
  <conditionalFormatting sqref="A386">
    <cfRule type="duplicateValues" dxfId="3" priority="275"/>
  </conditionalFormatting>
  <conditionalFormatting sqref="A387">
    <cfRule type="duplicateValues" dxfId="3" priority="274"/>
  </conditionalFormatting>
  <conditionalFormatting sqref="A388">
    <cfRule type="duplicateValues" dxfId="3" priority="273"/>
  </conditionalFormatting>
  <conditionalFormatting sqref="A389">
    <cfRule type="duplicateValues" dxfId="3" priority="272"/>
  </conditionalFormatting>
  <conditionalFormatting sqref="A390">
    <cfRule type="duplicateValues" dxfId="3" priority="271"/>
  </conditionalFormatting>
  <conditionalFormatting sqref="A391">
    <cfRule type="duplicateValues" dxfId="3" priority="270"/>
  </conditionalFormatting>
  <conditionalFormatting sqref="A392">
    <cfRule type="duplicateValues" dxfId="3" priority="269"/>
  </conditionalFormatting>
  <conditionalFormatting sqref="A393">
    <cfRule type="duplicateValues" dxfId="3" priority="268"/>
  </conditionalFormatting>
  <conditionalFormatting sqref="A394">
    <cfRule type="duplicateValues" dxfId="3" priority="267"/>
  </conditionalFormatting>
  <conditionalFormatting sqref="A395">
    <cfRule type="duplicateValues" dxfId="3" priority="266"/>
  </conditionalFormatting>
  <conditionalFormatting sqref="A396">
    <cfRule type="duplicateValues" dxfId="3" priority="265"/>
  </conditionalFormatting>
  <conditionalFormatting sqref="A397">
    <cfRule type="duplicateValues" dxfId="3" priority="264"/>
  </conditionalFormatting>
  <conditionalFormatting sqref="A398">
    <cfRule type="duplicateValues" dxfId="3" priority="263"/>
  </conditionalFormatting>
  <conditionalFormatting sqref="A399">
    <cfRule type="duplicateValues" dxfId="3" priority="262"/>
  </conditionalFormatting>
  <conditionalFormatting sqref="A400">
    <cfRule type="duplicateValues" dxfId="3" priority="261"/>
  </conditionalFormatting>
  <conditionalFormatting sqref="A401">
    <cfRule type="duplicateValues" dxfId="3" priority="260"/>
  </conditionalFormatting>
  <conditionalFormatting sqref="A402">
    <cfRule type="duplicateValues" dxfId="3" priority="259"/>
  </conditionalFormatting>
  <conditionalFormatting sqref="A403">
    <cfRule type="duplicateValues" dxfId="3" priority="258"/>
  </conditionalFormatting>
  <conditionalFormatting sqref="A404">
    <cfRule type="duplicateValues" dxfId="3" priority="257"/>
  </conditionalFormatting>
  <conditionalFormatting sqref="A405">
    <cfRule type="duplicateValues" dxfId="3" priority="256"/>
  </conditionalFormatting>
  <conditionalFormatting sqref="A406">
    <cfRule type="duplicateValues" dxfId="3" priority="255"/>
  </conditionalFormatting>
  <conditionalFormatting sqref="A407">
    <cfRule type="duplicateValues" dxfId="3" priority="254"/>
  </conditionalFormatting>
  <conditionalFormatting sqref="A408">
    <cfRule type="duplicateValues" dxfId="3" priority="253"/>
  </conditionalFormatting>
  <conditionalFormatting sqref="A409">
    <cfRule type="duplicateValues" dxfId="3" priority="251"/>
  </conditionalFormatting>
  <conditionalFormatting sqref="A410">
    <cfRule type="duplicateValues" dxfId="3" priority="250"/>
  </conditionalFormatting>
  <conditionalFormatting sqref="A411">
    <cfRule type="duplicateValues" dxfId="3" priority="249"/>
  </conditionalFormatting>
  <conditionalFormatting sqref="A412">
    <cfRule type="duplicateValues" dxfId="3" priority="248"/>
  </conditionalFormatting>
  <conditionalFormatting sqref="A413">
    <cfRule type="duplicateValues" dxfId="3" priority="247"/>
  </conditionalFormatting>
  <conditionalFormatting sqref="A414">
    <cfRule type="duplicateValues" dxfId="3" priority="246"/>
  </conditionalFormatting>
  <conditionalFormatting sqref="A415">
    <cfRule type="duplicateValues" dxfId="3" priority="245"/>
  </conditionalFormatting>
  <conditionalFormatting sqref="A416">
    <cfRule type="duplicateValues" dxfId="3" priority="244"/>
  </conditionalFormatting>
  <conditionalFormatting sqref="A417">
    <cfRule type="duplicateValues" dxfId="3" priority="239"/>
  </conditionalFormatting>
  <conditionalFormatting sqref="A418">
    <cfRule type="duplicateValues" dxfId="3" priority="238"/>
  </conditionalFormatting>
  <conditionalFormatting sqref="A419">
    <cfRule type="duplicateValues" dxfId="3" priority="236"/>
  </conditionalFormatting>
  <conditionalFormatting sqref="A420">
    <cfRule type="duplicateValues" dxfId="3" priority="233"/>
  </conditionalFormatting>
  <conditionalFormatting sqref="A421">
    <cfRule type="duplicateValues" dxfId="3" priority="232"/>
  </conditionalFormatting>
  <conditionalFormatting sqref="A422">
    <cfRule type="duplicateValues" dxfId="3" priority="231"/>
  </conditionalFormatting>
  <conditionalFormatting sqref="A423">
    <cfRule type="duplicateValues" dxfId="3" priority="230"/>
  </conditionalFormatting>
  <conditionalFormatting sqref="A424">
    <cfRule type="duplicateValues" dxfId="3" priority="229"/>
  </conditionalFormatting>
  <conditionalFormatting sqref="A425">
    <cfRule type="duplicateValues" dxfId="3" priority="228"/>
  </conditionalFormatting>
  <conditionalFormatting sqref="A426">
    <cfRule type="duplicateValues" dxfId="3" priority="227"/>
  </conditionalFormatting>
  <conditionalFormatting sqref="A427">
    <cfRule type="duplicateValues" dxfId="3" priority="226"/>
  </conditionalFormatting>
  <conditionalFormatting sqref="A428">
    <cfRule type="duplicateValues" dxfId="3" priority="225"/>
  </conditionalFormatting>
  <conditionalFormatting sqref="A429">
    <cfRule type="duplicateValues" dxfId="3" priority="224"/>
  </conditionalFormatting>
  <conditionalFormatting sqref="A430">
    <cfRule type="duplicateValues" dxfId="3" priority="223"/>
  </conditionalFormatting>
  <conditionalFormatting sqref="A431">
    <cfRule type="duplicateValues" dxfId="3" priority="222"/>
  </conditionalFormatting>
  <conditionalFormatting sqref="A432">
    <cfRule type="duplicateValues" dxfId="3" priority="221"/>
  </conditionalFormatting>
  <conditionalFormatting sqref="A433">
    <cfRule type="duplicateValues" dxfId="3" priority="220"/>
  </conditionalFormatting>
  <conditionalFormatting sqref="A434">
    <cfRule type="duplicateValues" dxfId="3" priority="219"/>
  </conditionalFormatting>
  <conditionalFormatting sqref="A435">
    <cfRule type="duplicateValues" dxfId="3" priority="218"/>
  </conditionalFormatting>
  <conditionalFormatting sqref="A436">
    <cfRule type="duplicateValues" dxfId="3" priority="217"/>
  </conditionalFormatting>
  <conditionalFormatting sqref="A437">
    <cfRule type="duplicateValues" dxfId="3" priority="216"/>
  </conditionalFormatting>
  <conditionalFormatting sqref="A438">
    <cfRule type="duplicateValues" dxfId="3" priority="215"/>
  </conditionalFormatting>
  <conditionalFormatting sqref="A439">
    <cfRule type="duplicateValues" dxfId="3" priority="214"/>
  </conditionalFormatting>
  <conditionalFormatting sqref="A440">
    <cfRule type="duplicateValues" dxfId="3" priority="213"/>
  </conditionalFormatting>
  <conditionalFormatting sqref="A441">
    <cfRule type="duplicateValues" dxfId="3" priority="212"/>
  </conditionalFormatting>
  <conditionalFormatting sqref="A442">
    <cfRule type="duplicateValues" dxfId="3" priority="211"/>
  </conditionalFormatting>
  <conditionalFormatting sqref="A443">
    <cfRule type="duplicateValues" dxfId="3" priority="210"/>
  </conditionalFormatting>
  <conditionalFormatting sqref="A444">
    <cfRule type="duplicateValues" dxfId="3" priority="209"/>
  </conditionalFormatting>
  <conditionalFormatting sqref="A445">
    <cfRule type="duplicateValues" dxfId="3" priority="208"/>
  </conditionalFormatting>
  <conditionalFormatting sqref="A446">
    <cfRule type="duplicateValues" dxfId="3" priority="206"/>
  </conditionalFormatting>
  <conditionalFormatting sqref="A447">
    <cfRule type="duplicateValues" dxfId="3" priority="205"/>
  </conditionalFormatting>
  <conditionalFormatting sqref="A448">
    <cfRule type="duplicateValues" dxfId="3" priority="204"/>
  </conditionalFormatting>
  <conditionalFormatting sqref="A449">
    <cfRule type="duplicateValues" dxfId="3" priority="203"/>
  </conditionalFormatting>
  <conditionalFormatting sqref="A450">
    <cfRule type="duplicateValues" dxfId="3" priority="202"/>
  </conditionalFormatting>
  <conditionalFormatting sqref="A451">
    <cfRule type="duplicateValues" dxfId="3" priority="201"/>
  </conditionalFormatting>
  <conditionalFormatting sqref="A452">
    <cfRule type="duplicateValues" dxfId="3" priority="200"/>
  </conditionalFormatting>
  <conditionalFormatting sqref="A453">
    <cfRule type="duplicateValues" dxfId="3" priority="199"/>
  </conditionalFormatting>
  <conditionalFormatting sqref="A454">
    <cfRule type="duplicateValues" dxfId="3" priority="194"/>
  </conditionalFormatting>
  <conditionalFormatting sqref="A455">
    <cfRule type="duplicateValues" dxfId="3" priority="193"/>
  </conditionalFormatting>
  <conditionalFormatting sqref="A456">
    <cfRule type="duplicateValues" dxfId="3" priority="192"/>
  </conditionalFormatting>
  <conditionalFormatting sqref="A457">
    <cfRule type="duplicateValues" dxfId="3" priority="189"/>
  </conditionalFormatting>
  <conditionalFormatting sqref="A458">
    <cfRule type="duplicateValues" dxfId="3" priority="188"/>
  </conditionalFormatting>
  <conditionalFormatting sqref="A459">
    <cfRule type="duplicateValues" dxfId="3" priority="187"/>
  </conditionalFormatting>
  <conditionalFormatting sqref="A460">
    <cfRule type="duplicateValues" dxfId="3" priority="186"/>
  </conditionalFormatting>
  <conditionalFormatting sqref="A461">
    <cfRule type="duplicateValues" dxfId="3" priority="185"/>
  </conditionalFormatting>
  <conditionalFormatting sqref="A462">
    <cfRule type="duplicateValues" dxfId="3" priority="183"/>
  </conditionalFormatting>
  <conditionalFormatting sqref="A463">
    <cfRule type="duplicateValues" dxfId="3" priority="182"/>
  </conditionalFormatting>
  <conditionalFormatting sqref="A464">
    <cfRule type="duplicateValues" dxfId="3" priority="181"/>
  </conditionalFormatting>
  <conditionalFormatting sqref="A465">
    <cfRule type="duplicateValues" dxfId="3" priority="180"/>
  </conditionalFormatting>
  <conditionalFormatting sqref="A466">
    <cfRule type="duplicateValues" dxfId="3" priority="179"/>
  </conditionalFormatting>
  <conditionalFormatting sqref="A467">
    <cfRule type="duplicateValues" dxfId="3" priority="178"/>
  </conditionalFormatting>
  <conditionalFormatting sqref="A468">
    <cfRule type="duplicateValues" dxfId="3" priority="177"/>
  </conditionalFormatting>
  <conditionalFormatting sqref="A469">
    <cfRule type="duplicateValues" dxfId="3" priority="176"/>
  </conditionalFormatting>
  <conditionalFormatting sqref="A470">
    <cfRule type="duplicateValues" dxfId="3" priority="175"/>
  </conditionalFormatting>
  <conditionalFormatting sqref="A471">
    <cfRule type="duplicateValues" dxfId="3" priority="173"/>
  </conditionalFormatting>
  <conditionalFormatting sqref="A472">
    <cfRule type="duplicateValues" dxfId="3" priority="172"/>
  </conditionalFormatting>
  <conditionalFormatting sqref="A473">
    <cfRule type="duplicateValues" dxfId="3" priority="171"/>
  </conditionalFormatting>
  <conditionalFormatting sqref="A474">
    <cfRule type="duplicateValues" dxfId="3" priority="170"/>
  </conditionalFormatting>
  <conditionalFormatting sqref="A475">
    <cfRule type="duplicateValues" dxfId="3" priority="169"/>
  </conditionalFormatting>
  <conditionalFormatting sqref="A476">
    <cfRule type="duplicateValues" dxfId="3" priority="168"/>
  </conditionalFormatting>
  <conditionalFormatting sqref="A477">
    <cfRule type="duplicateValues" dxfId="3" priority="167"/>
  </conditionalFormatting>
  <conditionalFormatting sqref="A478">
    <cfRule type="duplicateValues" dxfId="3" priority="166"/>
  </conditionalFormatting>
  <conditionalFormatting sqref="A479">
    <cfRule type="duplicateValues" dxfId="3" priority="165"/>
  </conditionalFormatting>
  <conditionalFormatting sqref="A480">
    <cfRule type="duplicateValues" dxfId="3" priority="164"/>
  </conditionalFormatting>
  <conditionalFormatting sqref="A481">
    <cfRule type="duplicateValues" dxfId="3" priority="163"/>
  </conditionalFormatting>
  <conditionalFormatting sqref="A482">
    <cfRule type="duplicateValues" dxfId="3" priority="162"/>
  </conditionalFormatting>
  <conditionalFormatting sqref="A483">
    <cfRule type="duplicateValues" dxfId="3" priority="161"/>
  </conditionalFormatting>
  <conditionalFormatting sqref="A484">
    <cfRule type="duplicateValues" dxfId="3" priority="160"/>
  </conditionalFormatting>
  <conditionalFormatting sqref="A485">
    <cfRule type="duplicateValues" dxfId="3" priority="159"/>
  </conditionalFormatting>
  <conditionalFormatting sqref="A486">
    <cfRule type="duplicateValues" dxfId="3" priority="158"/>
  </conditionalFormatting>
  <conditionalFormatting sqref="A487">
    <cfRule type="duplicateValues" dxfId="3" priority="157"/>
  </conditionalFormatting>
  <conditionalFormatting sqref="A488">
    <cfRule type="duplicateValues" dxfId="3" priority="156"/>
  </conditionalFormatting>
  <conditionalFormatting sqref="A489">
    <cfRule type="duplicateValues" dxfId="3" priority="155"/>
  </conditionalFormatting>
  <conditionalFormatting sqref="A490">
    <cfRule type="duplicateValues" dxfId="3" priority="154"/>
  </conditionalFormatting>
  <conditionalFormatting sqref="A491">
    <cfRule type="duplicateValues" dxfId="3" priority="149"/>
  </conditionalFormatting>
  <conditionalFormatting sqref="A492">
    <cfRule type="duplicateValues" dxfId="3" priority="146"/>
  </conditionalFormatting>
  <conditionalFormatting sqref="A493">
    <cfRule type="duplicateValues" dxfId="3" priority="145"/>
  </conditionalFormatting>
  <conditionalFormatting sqref="A494">
    <cfRule type="duplicateValues" dxfId="3" priority="144"/>
  </conditionalFormatting>
  <conditionalFormatting sqref="A495">
    <cfRule type="duplicateValues" dxfId="3" priority="143"/>
  </conditionalFormatting>
  <conditionalFormatting sqref="A496">
    <cfRule type="duplicateValues" dxfId="3" priority="142"/>
  </conditionalFormatting>
  <conditionalFormatting sqref="A497">
    <cfRule type="duplicateValues" dxfId="3" priority="141"/>
  </conditionalFormatting>
  <conditionalFormatting sqref="A498">
    <cfRule type="duplicateValues" dxfId="3" priority="139"/>
  </conditionalFormatting>
  <conditionalFormatting sqref="A499">
    <cfRule type="duplicateValues" dxfId="3" priority="138"/>
  </conditionalFormatting>
  <conditionalFormatting sqref="A500">
    <cfRule type="duplicateValues" dxfId="3" priority="137"/>
  </conditionalFormatting>
  <conditionalFormatting sqref="A501">
    <cfRule type="duplicateValues" dxfId="3" priority="136"/>
  </conditionalFormatting>
  <conditionalFormatting sqref="A502">
    <cfRule type="duplicateValues" dxfId="3" priority="135"/>
  </conditionalFormatting>
  <conditionalFormatting sqref="A503">
    <cfRule type="duplicateValues" dxfId="3" priority="134"/>
  </conditionalFormatting>
  <conditionalFormatting sqref="A504">
    <cfRule type="duplicateValues" dxfId="3" priority="132"/>
  </conditionalFormatting>
  <conditionalFormatting sqref="A505">
    <cfRule type="duplicateValues" dxfId="3" priority="131"/>
  </conditionalFormatting>
  <conditionalFormatting sqref="A506">
    <cfRule type="duplicateValues" dxfId="3" priority="130"/>
  </conditionalFormatting>
  <conditionalFormatting sqref="A507">
    <cfRule type="duplicateValues" dxfId="3" priority="129"/>
  </conditionalFormatting>
  <conditionalFormatting sqref="A508">
    <cfRule type="duplicateValues" dxfId="3" priority="126"/>
  </conditionalFormatting>
  <conditionalFormatting sqref="A509">
    <cfRule type="duplicateValues" dxfId="3" priority="125"/>
  </conditionalFormatting>
  <conditionalFormatting sqref="A510">
    <cfRule type="duplicateValues" dxfId="3" priority="124"/>
  </conditionalFormatting>
  <conditionalFormatting sqref="A511">
    <cfRule type="duplicateValues" dxfId="3" priority="123"/>
  </conditionalFormatting>
  <conditionalFormatting sqref="A512">
    <cfRule type="duplicateValues" dxfId="3" priority="122"/>
  </conditionalFormatting>
  <conditionalFormatting sqref="A513">
    <cfRule type="duplicateValues" dxfId="3" priority="121"/>
  </conditionalFormatting>
  <conditionalFormatting sqref="A514">
    <cfRule type="duplicateValues" dxfId="3" priority="119"/>
  </conditionalFormatting>
  <conditionalFormatting sqref="A515">
    <cfRule type="duplicateValues" dxfId="3" priority="118"/>
  </conditionalFormatting>
  <conditionalFormatting sqref="A516">
    <cfRule type="duplicateValues" dxfId="3" priority="116"/>
  </conditionalFormatting>
  <conditionalFormatting sqref="A517">
    <cfRule type="duplicateValues" dxfId="3" priority="115"/>
  </conditionalFormatting>
  <conditionalFormatting sqref="A518">
    <cfRule type="duplicateValues" dxfId="3" priority="114"/>
  </conditionalFormatting>
  <conditionalFormatting sqref="A519">
    <cfRule type="duplicateValues" dxfId="3" priority="113"/>
  </conditionalFormatting>
  <conditionalFormatting sqref="A520">
    <cfRule type="duplicateValues" dxfId="3" priority="112"/>
  </conditionalFormatting>
  <conditionalFormatting sqref="A521">
    <cfRule type="duplicateValues" dxfId="3" priority="111"/>
  </conditionalFormatting>
  <conditionalFormatting sqref="A522">
    <cfRule type="duplicateValues" dxfId="3" priority="110"/>
  </conditionalFormatting>
  <conditionalFormatting sqref="A523">
    <cfRule type="duplicateValues" dxfId="3" priority="109"/>
  </conditionalFormatting>
  <conditionalFormatting sqref="A524">
    <cfRule type="duplicateValues" dxfId="3" priority="108"/>
  </conditionalFormatting>
  <conditionalFormatting sqref="A525">
    <cfRule type="duplicateValues" dxfId="3" priority="107"/>
  </conditionalFormatting>
  <conditionalFormatting sqref="A526">
    <cfRule type="duplicateValues" dxfId="3" priority="106"/>
  </conditionalFormatting>
  <conditionalFormatting sqref="A527">
    <cfRule type="duplicateValues" dxfId="3" priority="105"/>
  </conditionalFormatting>
  <conditionalFormatting sqref="A528">
    <cfRule type="duplicateValues" dxfId="3" priority="104"/>
  </conditionalFormatting>
  <conditionalFormatting sqref="A529">
    <cfRule type="duplicateValues" dxfId="3" priority="103"/>
  </conditionalFormatting>
  <conditionalFormatting sqref="A530">
    <cfRule type="duplicateValues" dxfId="3" priority="102"/>
  </conditionalFormatting>
  <conditionalFormatting sqref="A531">
    <cfRule type="duplicateValues" dxfId="3" priority="101"/>
  </conditionalFormatting>
  <conditionalFormatting sqref="A532">
    <cfRule type="duplicateValues" dxfId="3" priority="100"/>
  </conditionalFormatting>
  <conditionalFormatting sqref="A533">
    <cfRule type="duplicateValues" dxfId="3" priority="99"/>
  </conditionalFormatting>
  <conditionalFormatting sqref="A534">
    <cfRule type="duplicateValues" dxfId="3" priority="98"/>
  </conditionalFormatting>
  <conditionalFormatting sqref="A535">
    <cfRule type="duplicateValues" dxfId="3" priority="97"/>
  </conditionalFormatting>
  <conditionalFormatting sqref="A536">
    <cfRule type="duplicateValues" dxfId="3" priority="96"/>
  </conditionalFormatting>
  <conditionalFormatting sqref="A537">
    <cfRule type="duplicateValues" dxfId="3" priority="95"/>
  </conditionalFormatting>
  <conditionalFormatting sqref="A538">
    <cfRule type="duplicateValues" dxfId="3" priority="94"/>
  </conditionalFormatting>
  <conditionalFormatting sqref="A539">
    <cfRule type="duplicateValues" dxfId="3" priority="93"/>
  </conditionalFormatting>
  <conditionalFormatting sqref="A540">
    <cfRule type="duplicateValues" dxfId="3" priority="92"/>
  </conditionalFormatting>
  <conditionalFormatting sqref="A541">
    <cfRule type="duplicateValues" dxfId="3" priority="91"/>
  </conditionalFormatting>
  <conditionalFormatting sqref="A542">
    <cfRule type="duplicateValues" dxfId="3" priority="90"/>
  </conditionalFormatting>
  <conditionalFormatting sqref="A543">
    <cfRule type="duplicateValues" dxfId="3" priority="89"/>
  </conditionalFormatting>
  <conditionalFormatting sqref="A544">
    <cfRule type="duplicateValues" dxfId="3" priority="88"/>
  </conditionalFormatting>
  <conditionalFormatting sqref="A545">
    <cfRule type="duplicateValues" dxfId="3" priority="87"/>
  </conditionalFormatting>
  <conditionalFormatting sqref="A546">
    <cfRule type="duplicateValues" dxfId="3" priority="86"/>
  </conditionalFormatting>
  <conditionalFormatting sqref="A547">
    <cfRule type="duplicateValues" dxfId="3" priority="85"/>
  </conditionalFormatting>
  <conditionalFormatting sqref="A548">
    <cfRule type="duplicateValues" dxfId="3" priority="83"/>
  </conditionalFormatting>
  <conditionalFormatting sqref="A549">
    <cfRule type="duplicateValues" dxfId="3" priority="82"/>
  </conditionalFormatting>
  <conditionalFormatting sqref="A550">
    <cfRule type="duplicateValues" dxfId="3" priority="81"/>
  </conditionalFormatting>
  <conditionalFormatting sqref="A551">
    <cfRule type="duplicateValues" dxfId="3" priority="80"/>
  </conditionalFormatting>
  <conditionalFormatting sqref="A552">
    <cfRule type="duplicateValues" dxfId="3" priority="79"/>
  </conditionalFormatting>
  <conditionalFormatting sqref="A553">
    <cfRule type="duplicateValues" dxfId="3" priority="78"/>
  </conditionalFormatting>
  <conditionalFormatting sqref="A554">
    <cfRule type="duplicateValues" dxfId="3" priority="77"/>
  </conditionalFormatting>
  <conditionalFormatting sqref="A555">
    <cfRule type="duplicateValues" dxfId="3" priority="76"/>
  </conditionalFormatting>
  <conditionalFormatting sqref="A556">
    <cfRule type="duplicateValues" dxfId="3" priority="68"/>
  </conditionalFormatting>
  <conditionalFormatting sqref="A557">
    <cfRule type="duplicateValues" dxfId="3" priority="65"/>
  </conditionalFormatting>
  <conditionalFormatting sqref="A558">
    <cfRule type="duplicateValues" dxfId="3" priority="64"/>
  </conditionalFormatting>
  <conditionalFormatting sqref="A559">
    <cfRule type="duplicateValues" dxfId="3" priority="63"/>
  </conditionalFormatting>
  <conditionalFormatting sqref="A560">
    <cfRule type="duplicateValues" dxfId="3" priority="62"/>
  </conditionalFormatting>
  <conditionalFormatting sqref="A561">
    <cfRule type="duplicateValues" dxfId="3" priority="61"/>
  </conditionalFormatting>
  <conditionalFormatting sqref="A562">
    <cfRule type="duplicateValues" dxfId="3" priority="60"/>
  </conditionalFormatting>
  <conditionalFormatting sqref="A563">
    <cfRule type="duplicateValues" dxfId="3" priority="59"/>
  </conditionalFormatting>
  <conditionalFormatting sqref="A564">
    <cfRule type="duplicateValues" dxfId="3" priority="58"/>
  </conditionalFormatting>
  <conditionalFormatting sqref="A565">
    <cfRule type="duplicateValues" dxfId="3" priority="57"/>
  </conditionalFormatting>
  <conditionalFormatting sqref="A566">
    <cfRule type="duplicateValues" dxfId="3" priority="56"/>
  </conditionalFormatting>
  <conditionalFormatting sqref="A567">
    <cfRule type="duplicateValues" dxfId="3" priority="55"/>
  </conditionalFormatting>
  <conditionalFormatting sqref="A568">
    <cfRule type="duplicateValues" dxfId="3" priority="54"/>
  </conditionalFormatting>
  <conditionalFormatting sqref="A569">
    <cfRule type="duplicateValues" dxfId="3" priority="53"/>
  </conditionalFormatting>
  <conditionalFormatting sqref="A570">
    <cfRule type="duplicateValues" dxfId="3" priority="52"/>
  </conditionalFormatting>
  <conditionalFormatting sqref="A571">
    <cfRule type="duplicateValues" dxfId="3" priority="51"/>
  </conditionalFormatting>
  <conditionalFormatting sqref="A572">
    <cfRule type="duplicateValues" dxfId="3" priority="50"/>
  </conditionalFormatting>
  <conditionalFormatting sqref="A573">
    <cfRule type="duplicateValues" dxfId="3" priority="49"/>
  </conditionalFormatting>
  <conditionalFormatting sqref="A574">
    <cfRule type="duplicateValues" dxfId="3" priority="47"/>
  </conditionalFormatting>
  <conditionalFormatting sqref="A575">
    <cfRule type="duplicateValues" dxfId="3" priority="46"/>
  </conditionalFormatting>
  <conditionalFormatting sqref="A576">
    <cfRule type="duplicateValues" dxfId="3" priority="45"/>
  </conditionalFormatting>
  <conditionalFormatting sqref="A577">
    <cfRule type="duplicateValues" dxfId="3" priority="44"/>
  </conditionalFormatting>
  <conditionalFormatting sqref="A578">
    <cfRule type="duplicateValues" dxfId="3" priority="43"/>
  </conditionalFormatting>
  <conditionalFormatting sqref="A579">
    <cfRule type="duplicateValues" dxfId="3" priority="42"/>
  </conditionalFormatting>
  <conditionalFormatting sqref="A580">
    <cfRule type="duplicateValues" dxfId="3" priority="41"/>
  </conditionalFormatting>
  <conditionalFormatting sqref="A581">
    <cfRule type="duplicateValues" dxfId="3" priority="40"/>
  </conditionalFormatting>
  <conditionalFormatting sqref="A582">
    <cfRule type="duplicateValues" dxfId="3" priority="39"/>
  </conditionalFormatting>
  <conditionalFormatting sqref="A583">
    <cfRule type="duplicateValues" dxfId="3" priority="38"/>
  </conditionalFormatting>
  <conditionalFormatting sqref="A584">
    <cfRule type="duplicateValues" dxfId="3" priority="37"/>
  </conditionalFormatting>
  <conditionalFormatting sqref="A585">
    <cfRule type="duplicateValues" dxfId="3" priority="36"/>
  </conditionalFormatting>
  <conditionalFormatting sqref="A586">
    <cfRule type="duplicateValues" dxfId="3" priority="35"/>
  </conditionalFormatting>
  <conditionalFormatting sqref="A587">
    <cfRule type="duplicateValues" dxfId="3" priority="34"/>
  </conditionalFormatting>
  <conditionalFormatting sqref="A588">
    <cfRule type="duplicateValues" dxfId="3" priority="33"/>
  </conditionalFormatting>
  <conditionalFormatting sqref="A589">
    <cfRule type="duplicateValues" dxfId="3" priority="32"/>
  </conditionalFormatting>
  <conditionalFormatting sqref="A590">
    <cfRule type="duplicateValues" dxfId="3" priority="31"/>
  </conditionalFormatting>
  <conditionalFormatting sqref="A591">
    <cfRule type="duplicateValues" dxfId="3" priority="30"/>
  </conditionalFormatting>
  <conditionalFormatting sqref="A592">
    <cfRule type="duplicateValues" dxfId="3" priority="28"/>
  </conditionalFormatting>
  <conditionalFormatting sqref="A593">
    <cfRule type="duplicateValues" dxfId="3" priority="27"/>
  </conditionalFormatting>
  <conditionalFormatting sqref="A594">
    <cfRule type="duplicateValues" dxfId="3" priority="26"/>
  </conditionalFormatting>
  <conditionalFormatting sqref="A595">
    <cfRule type="duplicateValues" dxfId="3" priority="25"/>
  </conditionalFormatting>
  <conditionalFormatting sqref="A596">
    <cfRule type="duplicateValues" dxfId="3" priority="23"/>
  </conditionalFormatting>
  <conditionalFormatting sqref="A597">
    <cfRule type="duplicateValues" dxfId="3" priority="22"/>
  </conditionalFormatting>
  <conditionalFormatting sqref="A598">
    <cfRule type="duplicateValues" dxfId="3" priority="21"/>
  </conditionalFormatting>
  <conditionalFormatting sqref="A599">
    <cfRule type="duplicateValues" dxfId="3" priority="20"/>
  </conditionalFormatting>
  <conditionalFormatting sqref="A600">
    <cfRule type="duplicateValues" dxfId="3" priority="19"/>
  </conditionalFormatting>
  <conditionalFormatting sqref="A601">
    <cfRule type="duplicateValues" dxfId="3" priority="17"/>
  </conditionalFormatting>
  <conditionalFormatting sqref="A602">
    <cfRule type="duplicateValues" dxfId="3" priority="16"/>
  </conditionalFormatting>
  <conditionalFormatting sqref="A603">
    <cfRule type="duplicateValues" dxfId="3" priority="15"/>
  </conditionalFormatting>
  <conditionalFormatting sqref="A604">
    <cfRule type="duplicateValues" dxfId="3" priority="14"/>
  </conditionalFormatting>
  <conditionalFormatting sqref="A605">
    <cfRule type="duplicateValues" dxfId="3" priority="13"/>
  </conditionalFormatting>
  <conditionalFormatting sqref="A606">
    <cfRule type="duplicateValues" dxfId="3" priority="12"/>
  </conditionalFormatting>
  <conditionalFormatting sqref="A607">
    <cfRule type="duplicateValues" dxfId="3" priority="11"/>
  </conditionalFormatting>
  <conditionalFormatting sqref="A608">
    <cfRule type="duplicateValues" dxfId="3" priority="10"/>
  </conditionalFormatting>
  <conditionalFormatting sqref="A609">
    <cfRule type="duplicateValues" dxfId="3" priority="9"/>
  </conditionalFormatting>
  <conditionalFormatting sqref="A610">
    <cfRule type="duplicateValues" dxfId="3" priority="8"/>
  </conditionalFormatting>
  <conditionalFormatting sqref="A611">
    <cfRule type="duplicateValues" dxfId="3" priority="7"/>
  </conditionalFormatting>
  <conditionalFormatting sqref="A612">
    <cfRule type="duplicateValues" dxfId="3" priority="6"/>
  </conditionalFormatting>
  <conditionalFormatting sqref="A613">
    <cfRule type="duplicateValues" dxfId="3" priority="5"/>
  </conditionalFormatting>
  <conditionalFormatting sqref="A614">
    <cfRule type="duplicateValues" dxfId="3" priority="4"/>
  </conditionalFormatting>
  <conditionalFormatting sqref="A615">
    <cfRule type="duplicateValues" dxfId="3" priority="3"/>
  </conditionalFormatting>
  <conditionalFormatting sqref="A$1:A$1048576">
    <cfRule type="duplicateValues" dxfId="3" priority="2"/>
  </conditionalFormatting>
  <conditionalFormatting sqref="A1:A349 A616:A1048576">
    <cfRule type="duplicateValues" dxfId="3" priority="314"/>
  </conditionalFormatting>
  <conditionalFormatting sqref="G1 G70:G1048576">
    <cfRule type="duplicateValues" dxfId="3" priority="315"/>
  </conditionalFormatting>
  <conditionalFormatting sqref="G2:G66 G69">
    <cfRule type="duplicateValues" dxfId="3" priority="1"/>
  </conditionalFormatting>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25"/>
  <sheetViews>
    <sheetView workbookViewId="0">
      <selection activeCell="C20" sqref="C20"/>
    </sheetView>
  </sheetViews>
  <sheetFormatPr defaultColWidth="9" defaultRowHeight="13.5" outlineLevelCol="7"/>
  <cols>
    <col min="1" max="2" width="20.5" customWidth="1"/>
    <col min="3" max="3" width="23.25" customWidth="1"/>
    <col min="4" max="4" width="21.125" customWidth="1"/>
    <col min="6" max="6" width="18.25" customWidth="1"/>
    <col min="7" max="7" width="23.5" customWidth="1"/>
    <col min="8" max="8" width="19.5" customWidth="1"/>
  </cols>
  <sheetData>
    <row r="1" ht="14.25" spans="1:8">
      <c r="A1" s="1" t="s">
        <v>1673</v>
      </c>
      <c r="B1" s="1" t="s">
        <v>1674</v>
      </c>
      <c r="C1" s="1" t="s">
        <v>1675</v>
      </c>
      <c r="D1" s="1" t="s">
        <v>1676</v>
      </c>
      <c r="E1" s="2"/>
      <c r="F1" s="1" t="s">
        <v>1673</v>
      </c>
      <c r="G1" s="1" t="s">
        <v>1674</v>
      </c>
      <c r="H1" s="1" t="s">
        <v>1677</v>
      </c>
    </row>
    <row r="2" ht="14.25" spans="1:8">
      <c r="A2" s="3" t="s">
        <v>1678</v>
      </c>
      <c r="B2" s="4" t="s">
        <v>1679</v>
      </c>
      <c r="C2" s="5" t="s">
        <v>1680</v>
      </c>
      <c r="D2" s="5"/>
      <c r="E2" s="2"/>
      <c r="F2" s="3" t="s">
        <v>1681</v>
      </c>
      <c r="G2" s="4" t="s">
        <v>1682</v>
      </c>
      <c r="H2" s="5" t="s">
        <v>1683</v>
      </c>
    </row>
    <row r="3" ht="14.25" spans="1:8">
      <c r="A3" s="3" t="s">
        <v>1684</v>
      </c>
      <c r="B3" s="4" t="s">
        <v>1679</v>
      </c>
      <c r="C3" s="5" t="s">
        <v>1680</v>
      </c>
      <c r="D3" s="5"/>
      <c r="E3" s="2"/>
      <c r="F3" s="3" t="s">
        <v>1685</v>
      </c>
      <c r="G3" s="4" t="s">
        <v>1682</v>
      </c>
      <c r="H3" s="5" t="s">
        <v>1683</v>
      </c>
    </row>
    <row r="4" ht="14.25" spans="1:8">
      <c r="A4" s="3" t="s">
        <v>1686</v>
      </c>
      <c r="B4" s="4" t="s">
        <v>1687</v>
      </c>
      <c r="C4" s="5" t="s">
        <v>1680</v>
      </c>
      <c r="D4" s="5"/>
      <c r="E4" s="2"/>
      <c r="F4" s="6" t="s">
        <v>1688</v>
      </c>
      <c r="G4" s="4" t="s">
        <v>1682</v>
      </c>
      <c r="H4" s="5" t="s">
        <v>1683</v>
      </c>
    </row>
    <row r="5" ht="14.25" spans="1:8">
      <c r="A5" s="3" t="s">
        <v>1689</v>
      </c>
      <c r="B5" s="4" t="s">
        <v>1687</v>
      </c>
      <c r="C5" s="5" t="s">
        <v>1680</v>
      </c>
      <c r="D5" s="5"/>
      <c r="E5" s="2"/>
      <c r="F5" s="3" t="s">
        <v>1690</v>
      </c>
      <c r="G5" s="4" t="s">
        <v>1691</v>
      </c>
      <c r="H5" s="5" t="s">
        <v>1683</v>
      </c>
    </row>
    <row r="6" ht="14.25" spans="1:8">
      <c r="A6" s="6" t="s">
        <v>1688</v>
      </c>
      <c r="B6" s="4" t="s">
        <v>1682</v>
      </c>
      <c r="C6" s="5" t="s">
        <v>1680</v>
      </c>
      <c r="D6" s="5" t="s">
        <v>1692</v>
      </c>
      <c r="E6" s="2"/>
      <c r="F6" s="3" t="s">
        <v>1693</v>
      </c>
      <c r="G6" s="4" t="s">
        <v>1691</v>
      </c>
      <c r="H6" s="5" t="s">
        <v>1683</v>
      </c>
    </row>
    <row r="7" ht="14.25" spans="1:5">
      <c r="A7" s="6" t="s">
        <v>1688</v>
      </c>
      <c r="B7" s="4" t="s">
        <v>1679</v>
      </c>
      <c r="C7" s="5" t="s">
        <v>1680</v>
      </c>
      <c r="D7" s="5"/>
      <c r="E7" s="2"/>
    </row>
    <row r="8" ht="14.25" spans="1:5">
      <c r="A8" s="3" t="s">
        <v>1690</v>
      </c>
      <c r="B8" s="4" t="s">
        <v>1691</v>
      </c>
      <c r="C8" s="5" t="s">
        <v>1680</v>
      </c>
      <c r="D8" s="5" t="s">
        <v>1694</v>
      </c>
      <c r="E8" s="2"/>
    </row>
    <row r="9" ht="14.25" spans="1:5">
      <c r="A9" s="3" t="s">
        <v>1690</v>
      </c>
      <c r="B9" s="4" t="s">
        <v>1687</v>
      </c>
      <c r="C9" s="5" t="s">
        <v>1680</v>
      </c>
      <c r="D9" s="5"/>
      <c r="E9" s="2"/>
    </row>
    <row r="10" ht="14.25" spans="1:5">
      <c r="A10" s="3" t="s">
        <v>1693</v>
      </c>
      <c r="B10" s="4" t="s">
        <v>1691</v>
      </c>
      <c r="C10" s="5" t="s">
        <v>1680</v>
      </c>
      <c r="D10" s="5" t="s">
        <v>1694</v>
      </c>
      <c r="E10" s="2"/>
    </row>
    <row r="11" ht="14.25" spans="1:5">
      <c r="A11" s="3" t="s">
        <v>1693</v>
      </c>
      <c r="B11" s="4" t="s">
        <v>1687</v>
      </c>
      <c r="C11" s="5" t="s">
        <v>1680</v>
      </c>
      <c r="D11" s="5"/>
      <c r="E11" s="2"/>
    </row>
    <row r="14" spans="1:3">
      <c r="A14" t="s">
        <v>1695</v>
      </c>
      <c r="C14" t="s">
        <v>1696</v>
      </c>
    </row>
    <row r="15" spans="1:3">
      <c r="A15" t="s">
        <v>1697</v>
      </c>
      <c r="C15" t="s">
        <v>1698</v>
      </c>
    </row>
    <row r="16" spans="1:3">
      <c r="A16" t="s">
        <v>1699</v>
      </c>
      <c r="C16" t="s">
        <v>1700</v>
      </c>
    </row>
    <row r="17" spans="1:3">
      <c r="A17" t="s">
        <v>32</v>
      </c>
      <c r="C17" t="s">
        <v>34</v>
      </c>
    </row>
    <row r="18" spans="1:3">
      <c r="A18" t="s">
        <v>1701</v>
      </c>
      <c r="C18" t="s">
        <v>1702</v>
      </c>
    </row>
    <row r="19" spans="1:3">
      <c r="A19" t="s">
        <v>1703</v>
      </c>
      <c r="C19" t="s">
        <v>1704</v>
      </c>
    </row>
    <row r="20" spans="1:1">
      <c r="A20" t="s">
        <v>1705</v>
      </c>
    </row>
    <row r="21" spans="1:1">
      <c r="A21" t="s">
        <v>1706</v>
      </c>
    </row>
    <row r="22" spans="1:1">
      <c r="A22" t="s">
        <v>1707</v>
      </c>
    </row>
    <row r="23" spans="1:1">
      <c r="A23" t="s">
        <v>1708</v>
      </c>
    </row>
    <row r="24" spans="1:1">
      <c r="A24" t="s">
        <v>1709</v>
      </c>
    </row>
    <row r="25" spans="1:1">
      <c r="A25" t="s">
        <v>1710</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4</vt:i4>
      </vt:variant>
    </vt:vector>
  </HeadingPairs>
  <TitlesOfParts>
    <vt:vector size="4" baseType="lpstr">
      <vt:lpstr>【2026年】前向收入合同审签表</vt:lpstr>
      <vt:lpstr>【2026年】集团产品与集团产品收入项配置表</vt:lpstr>
      <vt:lpstr>税率配置表&amp;利润中心</vt:lpstr>
      <vt:lpstr>业务模式和列收方式判断规则</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玉箫 张</dc:creator>
  <cp:lastModifiedBy>yeping</cp:lastModifiedBy>
  <dcterms:created xsi:type="dcterms:W3CDTF">2023-09-28T07:53:00Z</dcterms:created>
  <dcterms:modified xsi:type="dcterms:W3CDTF">2026-01-22T05:42:41Z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889B8229A1D14F59A71FFE40874F06E8_13</vt:lpwstr>
  </property>
  <property fmtid="{D5CDD505-2E9C-101B-9397-08002B2CF9AE}" pid="3" name="KSOProductBuildVer">
    <vt:lpwstr>2052-11.1.0.14309</vt:lpwstr>
  </property>
  <property fmtid="{D5CDD505-2E9C-101B-9397-08002B2CF9AE}" pid="4" name="CalculationRule">
    <vt:i4>0</vt:i4>
  </property>
</Properties>
</file>