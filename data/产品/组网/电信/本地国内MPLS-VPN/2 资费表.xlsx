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MPLS-VP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<sst xmlns="http://schemas.openxmlformats.org/spreadsheetml/2006/main" count="106" uniqueCount="101">
  <si>
    <t>MPLS-VPN资费（2022.2.23更新）</t>
  </si>
  <si>
    <t>一、一次性费用（元）</t>
  </si>
  <si>
    <t>线路类别</t>
  </si>
  <si>
    <t>资源情况</t>
  </si>
  <si>
    <t>一次性费用</t>
  </si>
  <si>
    <t>本地</t>
  </si>
  <si>
    <t>有光纤</t>
  </si>
  <si>
    <t>无光纤</t>
  </si>
  <si>
    <t>需实地勘查确定</t>
  </si>
  <si>
    <t>国内</t>
  </si>
  <si>
    <t>有/无光纤</t>
  </si>
  <si>
    <t>国际</t>
  </si>
  <si>
    <t>二、业务月租费</t>
  </si>
  <si>
    <t>1、本地MPLS-VPN</t>
  </si>
  <si>
    <t>端口速率</t>
  </si>
  <si>
    <t>标准资费
（元/端口/月）</t>
  </si>
  <si>
    <t>授权4折
（元/月）</t>
  </si>
  <si>
    <t>512k(ADSL专线)</t>
  </si>
  <si>
    <t>1M</t>
  </si>
  <si>
    <t>2M</t>
  </si>
  <si>
    <t>4M</t>
  </si>
  <si>
    <t>6M</t>
  </si>
  <si>
    <t>8M</t>
  </si>
  <si>
    <t>10M</t>
  </si>
  <si>
    <t>20M</t>
  </si>
  <si>
    <t>30M</t>
  </si>
  <si>
    <t>40M</t>
  </si>
  <si>
    <t>50M</t>
  </si>
  <si>
    <t>60M</t>
  </si>
  <si>
    <t>70M</t>
  </si>
  <si>
    <t>80M</t>
  </si>
  <si>
    <t>90M</t>
  </si>
  <si>
    <t>100M</t>
  </si>
  <si>
    <t>1000M</t>
  </si>
  <si>
    <t>2、国内MPLS-VPN</t>
  </si>
  <si>
    <t>本地接入费
（元/月）</t>
  </si>
  <si>
    <t>网络使用费（元/端口/月）</t>
  </si>
  <si>
    <t>标准资费合计</t>
  </si>
  <si>
    <t>授权6折（元/月）</t>
  </si>
  <si>
    <t>银</t>
  </si>
  <si>
    <t>金</t>
  </si>
  <si>
    <t>白金</t>
  </si>
  <si>
    <t>钻石</t>
  </si>
  <si>
    <t>1M(ADSL专线/光纤)</t>
  </si>
  <si>
    <t>2M(ADSL专线/光纤)</t>
  </si>
  <si>
    <t>4M（光纤）</t>
  </si>
  <si>
    <t>6M（光纤）</t>
  </si>
  <si>
    <t>8M（光纤）</t>
  </si>
  <si>
    <t>10M（光纤）</t>
  </si>
  <si>
    <t>15M</t>
  </si>
  <si>
    <t>16M</t>
  </si>
  <si>
    <t>20M（光纤）</t>
  </si>
  <si>
    <t>25M</t>
  </si>
  <si>
    <t>30M（光纤）</t>
  </si>
  <si>
    <t>34M</t>
  </si>
  <si>
    <t>36M</t>
  </si>
  <si>
    <t>38M</t>
  </si>
  <si>
    <t>40M（光纤）</t>
  </si>
  <si>
    <t>45M</t>
  </si>
  <si>
    <t>50M（光纤）</t>
  </si>
  <si>
    <t>56M</t>
  </si>
  <si>
    <t>60M（光纤）</t>
  </si>
  <si>
    <t>70M（光纤）</t>
  </si>
  <si>
    <t>80M（光纤）</t>
  </si>
  <si>
    <t>84M</t>
  </si>
  <si>
    <t xml:space="preserve">           </t>
  </si>
  <si>
    <t>90M（光纤）</t>
  </si>
  <si>
    <t>100M（光纤）</t>
  </si>
  <si>
    <t>150M（光纤）</t>
  </si>
  <si>
    <t>155M（光纤）</t>
  </si>
  <si>
    <t>200M（光纤）</t>
  </si>
  <si>
    <t>250M（光纤）</t>
  </si>
  <si>
    <t>300M（光纤）</t>
  </si>
  <si>
    <t>350M（光纤）</t>
  </si>
  <si>
    <t>400M（光纤）</t>
  </si>
  <si>
    <t>450M（光纤）</t>
  </si>
  <si>
    <t>500M（光纤）</t>
  </si>
  <si>
    <t>550M（光纤）</t>
  </si>
  <si>
    <t>600M（光纤）</t>
  </si>
  <si>
    <t>622M（光纤）</t>
  </si>
  <si>
    <t>650M（光纤）</t>
  </si>
  <si>
    <t>700M（光纤）</t>
  </si>
  <si>
    <t>750M（光纤）</t>
  </si>
  <si>
    <t>800M（光纤）</t>
  </si>
  <si>
    <t>850M（光纤）</t>
  </si>
  <si>
    <t>900M（光纤）</t>
  </si>
  <si>
    <t>950M（光纤）</t>
  </si>
  <si>
    <t>1G（光纤）</t>
  </si>
  <si>
    <t>2G（光纤）</t>
  </si>
  <si>
    <t>2.5G（光纤）</t>
  </si>
  <si>
    <t>3G（光纤）</t>
  </si>
  <si>
    <t>4G（光纤）</t>
  </si>
  <si>
    <t>5G（光纤）</t>
  </si>
  <si>
    <t>6G（光纤）</t>
  </si>
  <si>
    <t>7G（光纤）</t>
  </si>
  <si>
    <t>8G（光纤）</t>
  </si>
  <si>
    <t>9G（光纤）</t>
  </si>
  <si>
    <t>10G（光纤）</t>
  </si>
  <si>
    <t>备注：1、月租费为银的价格加本地接入费的合计；2、网络使用费客户可以按级别比例配比加本地接入费</t>
  </si>
  <si>
    <t>3、国际MPLS-VPN</t>
  </si>
  <si>
    <t>区域：美国、加拿大、巴西、英法德、阿联酋迪拜、香港、新加坡、日本、澳大利亚、越南、泰国、印尼、印度、NNI互联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</si>
</sst>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/>
    <xf numFmtId="0" fontId="3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8" fillId="0" borderId="1" xfId="49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2" fillId="4" borderId="1" xfId="50" applyFont="1" applyFill="1" applyBorder="1" applyAlignment="1">
      <alignment horizontal="center" vertical="center"/>
    </xf>
    <xf numFmtId="0" fontId="2" fillId="4" borderId="1" xfId="5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3" fontId="0" fillId="0" borderId="2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0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IPMAN业务资费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365760</xdr:colOff>
          <xdr:row>90</xdr:row>
          <xdr:rowOff>137160</xdr:rowOff>
        </xdr:from>
        <xdr:to>
          <xdr:col>0</xdr:col>
          <xdr:colOff>1280160</xdr:colOff>
          <xdr:row>93</xdr:row>
          <xdr:rowOff>137160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65760" y="21625560"/>
              <a:ext cx="914400" cy="685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tabSelected="1" topLeftCell="A60" workbookViewId="0">
      <selection activeCell="J93" sqref="J93"/>
    </sheetView>
  </sheetViews>
  <sheetFormatPr defaultColWidth="9" defaultRowHeight="18" customHeight="1"/>
  <cols>
    <col min="1" max="1" width="21.1083333333333" style="1" customWidth="1"/>
    <col min="2" max="2" width="19.1666666666667" style="1" customWidth="1"/>
    <col min="3" max="3" width="19.3333333333333" style="1" customWidth="1"/>
    <col min="4" max="4" width="17.1083333333333" style="1" customWidth="1"/>
    <col min="5" max="5" width="16.3333333333333" style="1" customWidth="1"/>
    <col min="6" max="6" width="16.4416666666667" style="1" customWidth="1"/>
    <col min="7" max="7" width="23.8916666666667" style="1" customWidth="1"/>
    <col min="8" max="8" width="20.8333333333333" style="1" customWidth="1"/>
    <col min="9" max="9" width="20" style="1" customWidth="1"/>
    <col min="10" max="10" width="14.8916666666667" style="1" customWidth="1"/>
    <col min="11" max="11" width="17.225" style="1" customWidth="1"/>
    <col min="12" max="12" width="14.775" style="1" customWidth="1"/>
    <col min="13" max="13" width="12.4416666666667" style="1" customWidth="1"/>
    <col min="14" max="16384" width="9" style="1"/>
  </cols>
  <sheetData>
    <row r="1" s="1" customFormat="1" ht="36.75" customHeight="1" spans="1:10">
      <c r="A1" s="3" t="s">
        <v>0</v>
      </c>
      <c r="B1" s="3"/>
      <c r="C1" s="3"/>
      <c r="D1" s="3"/>
      <c r="E1" s="3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6"/>
      <c r="H2" s="6"/>
      <c r="I2" s="6"/>
      <c r="J2" s="6"/>
    </row>
    <row r="3" s="1" customFormat="1" ht="33" customHeight="1" spans="1:10">
      <c r="A3" s="7" t="s">
        <v>2</v>
      </c>
      <c r="B3" s="7" t="s">
        <v>3</v>
      </c>
      <c r="C3" s="8" t="s">
        <v>4</v>
      </c>
      <c r="D3" s="5"/>
      <c r="E3" s="5"/>
      <c r="F3" s="5"/>
      <c r="G3" s="6"/>
      <c r="H3" s="6"/>
      <c r="I3" s="6"/>
      <c r="J3" s="6"/>
    </row>
    <row r="4" s="1" customFormat="1" customHeight="1" spans="1:10">
      <c r="A4" s="9" t="s">
        <v>5</v>
      </c>
      <c r="B4" s="9" t="s">
        <v>6</v>
      </c>
      <c r="C4" s="9">
        <v>1300</v>
      </c>
      <c r="D4" s="5"/>
      <c r="E4" s="5"/>
      <c r="F4" s="5"/>
      <c r="G4" s="6"/>
      <c r="H4" s="6"/>
      <c r="I4" s="6"/>
      <c r="J4" s="6"/>
    </row>
    <row r="5" s="1" customFormat="1" customHeight="1" spans="1:10">
      <c r="A5" s="9" t="s">
        <v>5</v>
      </c>
      <c r="B5" s="9" t="s">
        <v>7</v>
      </c>
      <c r="C5" s="9" t="s">
        <v>8</v>
      </c>
      <c r="D5" s="5"/>
      <c r="E5" s="5"/>
      <c r="F5" s="5"/>
      <c r="G5" s="6"/>
      <c r="H5" s="6"/>
      <c r="I5" s="6"/>
      <c r="J5" s="6"/>
    </row>
    <row r="6" s="1" customFormat="1" customHeight="1" spans="1:10">
      <c r="A6" s="9" t="s">
        <v>9</v>
      </c>
      <c r="B6" s="9" t="s">
        <v>10</v>
      </c>
      <c r="C6" s="9">
        <v>1300</v>
      </c>
      <c r="D6" s="5"/>
      <c r="E6" s="5"/>
      <c r="F6" s="5"/>
      <c r="G6" s="6"/>
      <c r="H6" s="6"/>
      <c r="I6" s="6"/>
      <c r="J6" s="6"/>
    </row>
    <row r="7" s="1" customFormat="1" customHeight="1" spans="1:10">
      <c r="A7" s="9" t="s">
        <v>11</v>
      </c>
      <c r="B7" s="9" t="s">
        <v>10</v>
      </c>
      <c r="C7" s="9" t="s">
        <v>8</v>
      </c>
      <c r="D7" s="5"/>
      <c r="E7" s="5"/>
      <c r="F7" s="5"/>
      <c r="G7" s="6"/>
      <c r="H7" s="6"/>
      <c r="I7" s="6"/>
      <c r="J7" s="6"/>
    </row>
    <row r="9" s="1" customFormat="1" customHeight="1" spans="1:10">
      <c r="A9" s="5" t="s">
        <v>12</v>
      </c>
      <c r="B9" s="5"/>
      <c r="C9" s="5"/>
      <c r="D9" s="5"/>
      <c r="E9" s="5"/>
      <c r="F9" s="5"/>
      <c r="G9" s="6"/>
      <c r="H9" s="6"/>
      <c r="I9" s="6"/>
      <c r="J9" s="30"/>
    </row>
    <row r="10" s="1" customFormat="1" ht="18.75" customHeight="1" spans="1:6">
      <c r="A10" s="10" t="s">
        <v>13</v>
      </c>
      <c r="B10" s="11"/>
      <c r="C10" s="11"/>
      <c r="D10" s="11"/>
      <c r="E10" s="11"/>
      <c r="F10" s="11"/>
    </row>
    <row r="11" s="2" customFormat="1" ht="33.75" customHeight="1" spans="1:6">
      <c r="A11" s="12" t="s">
        <v>14</v>
      </c>
      <c r="B11" s="13" t="s">
        <v>15</v>
      </c>
      <c r="C11" s="14" t="s">
        <v>16</v>
      </c>
      <c r="D11" s="15"/>
      <c r="E11" s="15"/>
      <c r="F11" s="15"/>
    </row>
    <row r="12" s="2" customFormat="1" customHeight="1" spans="1:6">
      <c r="A12" s="16" t="s">
        <v>17</v>
      </c>
      <c r="B12" s="16">
        <v>2300</v>
      </c>
      <c r="C12" s="17">
        <f t="shared" ref="C12:C28" si="0">B12*0.4</f>
        <v>920</v>
      </c>
      <c r="D12" s="15"/>
      <c r="E12" s="15"/>
      <c r="F12" s="15"/>
    </row>
    <row r="13" s="2" customFormat="1" customHeight="1" spans="1:6">
      <c r="A13" s="16" t="s">
        <v>18</v>
      </c>
      <c r="B13" s="16">
        <v>2800</v>
      </c>
      <c r="C13" s="17">
        <f t="shared" si="0"/>
        <v>1120</v>
      </c>
      <c r="D13" s="15"/>
      <c r="E13" s="15"/>
      <c r="F13" s="15"/>
    </row>
    <row r="14" s="2" customFormat="1" customHeight="1" spans="1:6">
      <c r="A14" s="16" t="s">
        <v>19</v>
      </c>
      <c r="B14" s="16">
        <v>3500</v>
      </c>
      <c r="C14" s="17">
        <f t="shared" si="0"/>
        <v>1400</v>
      </c>
      <c r="D14" s="15"/>
      <c r="E14" s="15"/>
      <c r="F14" s="15"/>
    </row>
    <row r="15" s="2" customFormat="1" customHeight="1" spans="1:6">
      <c r="A15" s="16" t="s">
        <v>20</v>
      </c>
      <c r="B15" s="16">
        <v>4000</v>
      </c>
      <c r="C15" s="17">
        <f t="shared" si="0"/>
        <v>1600</v>
      </c>
      <c r="D15" s="15"/>
      <c r="E15" s="15"/>
      <c r="F15" s="15"/>
    </row>
    <row r="16" s="2" customFormat="1" customHeight="1" spans="1:6">
      <c r="A16" s="16" t="s">
        <v>21</v>
      </c>
      <c r="B16" s="16">
        <v>5000</v>
      </c>
      <c r="C16" s="17">
        <f t="shared" si="0"/>
        <v>2000</v>
      </c>
      <c r="D16" s="15"/>
      <c r="E16" s="15"/>
      <c r="F16" s="15"/>
    </row>
    <row r="17" s="2" customFormat="1" customHeight="1" spans="1:6">
      <c r="A17" s="16" t="s">
        <v>22</v>
      </c>
      <c r="B17" s="16">
        <v>6000</v>
      </c>
      <c r="C17" s="17">
        <f t="shared" si="0"/>
        <v>2400</v>
      </c>
      <c r="D17" s="15"/>
      <c r="E17" s="15"/>
      <c r="F17" s="15"/>
    </row>
    <row r="18" s="2" customFormat="1" customHeight="1" spans="1:6">
      <c r="A18" s="16" t="s">
        <v>23</v>
      </c>
      <c r="B18" s="16">
        <v>7800</v>
      </c>
      <c r="C18" s="17">
        <f t="shared" si="0"/>
        <v>3120</v>
      </c>
      <c r="D18" s="15"/>
      <c r="E18" s="15"/>
      <c r="F18" s="15"/>
    </row>
    <row r="19" s="2" customFormat="1" customHeight="1" spans="1:6">
      <c r="A19" s="16" t="s">
        <v>24</v>
      </c>
      <c r="B19" s="16">
        <v>11400</v>
      </c>
      <c r="C19" s="17">
        <f t="shared" si="0"/>
        <v>4560</v>
      </c>
      <c r="D19" s="15"/>
      <c r="E19" s="15"/>
      <c r="F19" s="15"/>
    </row>
    <row r="20" s="2" customFormat="1" customHeight="1" spans="1:6">
      <c r="A20" s="16" t="s">
        <v>25</v>
      </c>
      <c r="B20" s="16">
        <v>13700</v>
      </c>
      <c r="C20" s="17">
        <f t="shared" si="0"/>
        <v>5480</v>
      </c>
      <c r="D20" s="15"/>
      <c r="E20" s="15"/>
      <c r="F20" s="15"/>
    </row>
    <row r="21" s="2" customFormat="1" customHeight="1" spans="1:6">
      <c r="A21" s="16" t="s">
        <v>26</v>
      </c>
      <c r="B21" s="16">
        <v>15200</v>
      </c>
      <c r="C21" s="17">
        <f t="shared" si="0"/>
        <v>6080</v>
      </c>
      <c r="D21" s="15"/>
      <c r="E21" s="15"/>
      <c r="F21" s="15"/>
    </row>
    <row r="22" s="2" customFormat="1" customHeight="1" spans="1:6">
      <c r="A22" s="16" t="s">
        <v>27</v>
      </c>
      <c r="B22" s="16">
        <v>16000</v>
      </c>
      <c r="C22" s="17">
        <f t="shared" si="0"/>
        <v>6400</v>
      </c>
      <c r="D22" s="15"/>
      <c r="E22" s="15"/>
      <c r="F22" s="15"/>
    </row>
    <row r="23" s="2" customFormat="1" customHeight="1" spans="1:6">
      <c r="A23" s="16" t="s">
        <v>28</v>
      </c>
      <c r="B23" s="16">
        <v>16800</v>
      </c>
      <c r="C23" s="17">
        <f t="shared" si="0"/>
        <v>6720</v>
      </c>
      <c r="D23" s="15"/>
      <c r="E23" s="15"/>
      <c r="F23" s="15"/>
    </row>
    <row r="24" s="2" customFormat="1" customHeight="1" spans="1:6">
      <c r="A24" s="16" t="s">
        <v>29</v>
      </c>
      <c r="B24" s="16">
        <v>17800</v>
      </c>
      <c r="C24" s="17">
        <f t="shared" si="0"/>
        <v>7120</v>
      </c>
      <c r="D24" s="15"/>
      <c r="E24" s="15"/>
      <c r="F24" s="15"/>
    </row>
    <row r="25" s="2" customFormat="1" customHeight="1" spans="1:6">
      <c r="A25" s="16" t="s">
        <v>30</v>
      </c>
      <c r="B25" s="16">
        <v>18300</v>
      </c>
      <c r="C25" s="17">
        <f t="shared" si="0"/>
        <v>7320</v>
      </c>
      <c r="D25" s="15"/>
      <c r="E25" s="15"/>
      <c r="F25" s="15"/>
    </row>
    <row r="26" s="2" customFormat="1" customHeight="1" spans="1:6">
      <c r="A26" s="16" t="s">
        <v>31</v>
      </c>
      <c r="B26" s="16">
        <v>19000</v>
      </c>
      <c r="C26" s="17">
        <f t="shared" si="0"/>
        <v>7600</v>
      </c>
      <c r="D26" s="15"/>
      <c r="E26" s="15"/>
      <c r="F26" s="15"/>
    </row>
    <row r="27" s="2" customFormat="1" customHeight="1" spans="1:6">
      <c r="A27" s="16" t="s">
        <v>32</v>
      </c>
      <c r="B27" s="16">
        <v>19800</v>
      </c>
      <c r="C27" s="17">
        <f t="shared" si="0"/>
        <v>7920</v>
      </c>
      <c r="D27" s="15"/>
      <c r="E27" s="15"/>
      <c r="F27" s="15"/>
    </row>
    <row r="28" s="2" customFormat="1" customHeight="1" spans="1:6">
      <c r="A28" s="16" t="s">
        <v>33</v>
      </c>
      <c r="B28" s="16">
        <v>158400</v>
      </c>
      <c r="C28" s="17">
        <f t="shared" si="0"/>
        <v>63360</v>
      </c>
      <c r="D28" s="15"/>
      <c r="E28" s="15"/>
      <c r="F28" s="15"/>
    </row>
    <row r="29" s="1" customFormat="1" ht="29.25" customHeight="1" spans="1:5">
      <c r="A29" s="18"/>
      <c r="B29" s="18"/>
      <c r="C29" s="18"/>
      <c r="D29" s="18"/>
      <c r="E29" s="18"/>
    </row>
    <row r="30" s="1" customFormat="1" ht="28.5" customHeight="1" spans="1:1">
      <c r="A30" s="19" t="s">
        <v>34</v>
      </c>
    </row>
    <row r="31" s="1" customFormat="1" customHeight="1" spans="1:8">
      <c r="A31" s="20" t="s">
        <v>14</v>
      </c>
      <c r="B31" s="21" t="s">
        <v>35</v>
      </c>
      <c r="C31" s="22" t="s">
        <v>36</v>
      </c>
      <c r="D31" s="22"/>
      <c r="E31" s="22"/>
      <c r="F31" s="22"/>
      <c r="G31" s="22" t="s">
        <v>37</v>
      </c>
      <c r="H31" s="22" t="s">
        <v>38</v>
      </c>
    </row>
    <row r="32" s="1" customFormat="1" customHeight="1" spans="1:8">
      <c r="A32" s="20"/>
      <c r="B32" s="20"/>
      <c r="C32" s="23" t="s">
        <v>39</v>
      </c>
      <c r="D32" s="23" t="s">
        <v>40</v>
      </c>
      <c r="E32" s="23" t="s">
        <v>41</v>
      </c>
      <c r="F32" s="23" t="s">
        <v>42</v>
      </c>
      <c r="G32" s="22" t="s">
        <v>39</v>
      </c>
      <c r="H32" s="22"/>
    </row>
    <row r="33" s="1" customFormat="1" customHeight="1" spans="1:8">
      <c r="A33" s="24" t="s">
        <v>43</v>
      </c>
      <c r="B33" s="24">
        <v>2800</v>
      </c>
      <c r="C33" s="25">
        <v>4400</v>
      </c>
      <c r="D33" s="25">
        <v>4840</v>
      </c>
      <c r="E33" s="25">
        <v>5280</v>
      </c>
      <c r="F33" s="25">
        <v>5720</v>
      </c>
      <c r="G33" s="26">
        <f t="shared" ref="G33:G39" si="1">B33+C33</f>
        <v>7200</v>
      </c>
      <c r="H33" s="27">
        <f t="shared" ref="H33:H39" si="2">G33*0.6</f>
        <v>4320</v>
      </c>
    </row>
    <row r="34" s="1" customFormat="1" customHeight="1" spans="1:8">
      <c r="A34" s="24" t="s">
        <v>44</v>
      </c>
      <c r="B34" s="24">
        <v>3500</v>
      </c>
      <c r="C34" s="25">
        <v>5500</v>
      </c>
      <c r="D34" s="25">
        <v>6050</v>
      </c>
      <c r="E34" s="25">
        <v>6600</v>
      </c>
      <c r="F34" s="25">
        <v>7150</v>
      </c>
      <c r="G34" s="28">
        <f t="shared" si="1"/>
        <v>9000</v>
      </c>
      <c r="H34" s="27">
        <f t="shared" si="2"/>
        <v>5400</v>
      </c>
    </row>
    <row r="35" s="1" customFormat="1" customHeight="1" spans="1:8">
      <c r="A35" s="24" t="s">
        <v>45</v>
      </c>
      <c r="B35" s="24">
        <v>4000</v>
      </c>
      <c r="C35" s="25">
        <v>7800</v>
      </c>
      <c r="D35" s="25">
        <v>8580</v>
      </c>
      <c r="E35" s="25">
        <v>9360</v>
      </c>
      <c r="F35" s="25">
        <v>10140</v>
      </c>
      <c r="G35" s="28">
        <f t="shared" si="1"/>
        <v>11800</v>
      </c>
      <c r="H35" s="27">
        <f t="shared" si="2"/>
        <v>7080</v>
      </c>
    </row>
    <row r="36" s="1" customFormat="1" customHeight="1" spans="1:8">
      <c r="A36" s="24" t="s">
        <v>46</v>
      </c>
      <c r="B36" s="24">
        <v>5000</v>
      </c>
      <c r="C36" s="25">
        <v>10850</v>
      </c>
      <c r="D36" s="29"/>
      <c r="E36" s="29"/>
      <c r="F36" s="29"/>
      <c r="G36" s="28">
        <f t="shared" si="1"/>
        <v>15850</v>
      </c>
      <c r="H36" s="27">
        <f t="shared" si="2"/>
        <v>9510</v>
      </c>
    </row>
    <row r="37" s="1" customFormat="1" customHeight="1" spans="1:8">
      <c r="A37" s="24" t="s">
        <v>47</v>
      </c>
      <c r="B37" s="24">
        <v>6000</v>
      </c>
      <c r="C37" s="25">
        <v>13900</v>
      </c>
      <c r="D37" s="25">
        <v>15290</v>
      </c>
      <c r="E37" s="25">
        <v>16680</v>
      </c>
      <c r="F37" s="25">
        <v>18070</v>
      </c>
      <c r="G37" s="28">
        <f t="shared" si="1"/>
        <v>19900</v>
      </c>
      <c r="H37" s="27">
        <f t="shared" si="2"/>
        <v>11940</v>
      </c>
    </row>
    <row r="38" s="1" customFormat="1" customHeight="1" spans="1:8">
      <c r="A38" s="24" t="s">
        <v>48</v>
      </c>
      <c r="B38" s="24">
        <v>7800</v>
      </c>
      <c r="C38" s="25">
        <v>16800</v>
      </c>
      <c r="D38" s="25">
        <v>18480</v>
      </c>
      <c r="E38" s="25">
        <v>20160</v>
      </c>
      <c r="F38" s="25">
        <v>21840</v>
      </c>
      <c r="G38" s="28">
        <f t="shared" si="1"/>
        <v>24600</v>
      </c>
      <c r="H38" s="27">
        <f t="shared" si="2"/>
        <v>14760</v>
      </c>
    </row>
    <row r="39" s="1" customFormat="1" customHeight="1" spans="1:8">
      <c r="A39" s="24" t="s">
        <v>49</v>
      </c>
      <c r="B39" s="24">
        <v>9600</v>
      </c>
      <c r="C39" s="25">
        <v>23400</v>
      </c>
      <c r="D39" s="25"/>
      <c r="E39" s="25"/>
      <c r="F39" s="25"/>
      <c r="G39" s="28">
        <f t="shared" si="1"/>
        <v>33000</v>
      </c>
      <c r="H39" s="27">
        <f t="shared" si="2"/>
        <v>19800</v>
      </c>
    </row>
    <row r="40" s="1" customFormat="1" customHeight="1" spans="1:8">
      <c r="A40" s="24" t="s">
        <v>50</v>
      </c>
      <c r="B40" s="24"/>
      <c r="C40" s="25">
        <v>24023</v>
      </c>
      <c r="D40" s="25"/>
      <c r="E40" s="25"/>
      <c r="F40" s="25"/>
      <c r="G40" s="28"/>
      <c r="H40" s="27"/>
    </row>
    <row r="41" s="1" customFormat="1" customHeight="1" spans="1:8">
      <c r="A41" s="24" t="s">
        <v>51</v>
      </c>
      <c r="B41" s="24">
        <v>11400</v>
      </c>
      <c r="C41" s="25">
        <v>30000</v>
      </c>
      <c r="D41" s="25">
        <v>33000</v>
      </c>
      <c r="E41" s="25">
        <v>36000</v>
      </c>
      <c r="F41" s="25">
        <v>39000</v>
      </c>
      <c r="G41" s="28">
        <f t="shared" ref="G41:G44" si="3">B41+C41</f>
        <v>41400</v>
      </c>
      <c r="H41" s="27">
        <f t="shared" ref="H41:H44" si="4">G41*0.6</f>
        <v>24840</v>
      </c>
    </row>
    <row r="42" s="1" customFormat="1" customHeight="1" spans="1:8">
      <c r="A42" s="24" t="s">
        <v>52</v>
      </c>
      <c r="B42" s="24"/>
      <c r="C42" s="25">
        <v>36000</v>
      </c>
      <c r="D42" s="25"/>
      <c r="E42" s="25"/>
      <c r="F42" s="25"/>
      <c r="G42" s="28"/>
      <c r="H42" s="27"/>
    </row>
    <row r="43" s="1" customFormat="1" customHeight="1" spans="1:8">
      <c r="A43" s="24" t="s">
        <v>53</v>
      </c>
      <c r="B43" s="24">
        <v>13700</v>
      </c>
      <c r="C43" s="25">
        <v>42000</v>
      </c>
      <c r="D43" s="25">
        <v>46200</v>
      </c>
      <c r="E43" s="25">
        <v>50400</v>
      </c>
      <c r="F43" s="25">
        <v>54600</v>
      </c>
      <c r="G43" s="28">
        <f t="shared" si="3"/>
        <v>55700</v>
      </c>
      <c r="H43" s="27">
        <f t="shared" si="4"/>
        <v>33420</v>
      </c>
    </row>
    <row r="44" s="1" customFormat="1" customHeight="1" spans="1:8">
      <c r="A44" s="24" t="s">
        <v>54</v>
      </c>
      <c r="B44" s="24"/>
      <c r="C44" s="25">
        <v>46800</v>
      </c>
      <c r="D44" s="25">
        <v>51480</v>
      </c>
      <c r="E44" s="25">
        <v>56160</v>
      </c>
      <c r="F44" s="25">
        <v>60840</v>
      </c>
      <c r="G44" s="28">
        <f t="shared" si="3"/>
        <v>46800</v>
      </c>
      <c r="H44" s="27">
        <f t="shared" si="4"/>
        <v>28080</v>
      </c>
    </row>
    <row r="45" s="1" customFormat="1" customHeight="1" spans="1:8">
      <c r="A45" s="24" t="s">
        <v>55</v>
      </c>
      <c r="B45" s="24"/>
      <c r="C45" s="25">
        <v>49048</v>
      </c>
      <c r="D45" s="25"/>
      <c r="E45" s="25"/>
      <c r="F45" s="25"/>
      <c r="G45" s="28"/>
      <c r="H45" s="27"/>
    </row>
    <row r="46" s="1" customFormat="1" customHeight="1" spans="1:8">
      <c r="A46" s="24" t="s">
        <v>56</v>
      </c>
      <c r="B46" s="24"/>
      <c r="C46" s="25">
        <v>51468</v>
      </c>
      <c r="D46" s="25"/>
      <c r="E46" s="25"/>
      <c r="F46" s="25"/>
      <c r="G46" s="28"/>
      <c r="H46" s="27"/>
    </row>
    <row r="47" s="1" customFormat="1" customHeight="1" spans="1:8">
      <c r="A47" s="24" t="s">
        <v>57</v>
      </c>
      <c r="B47" s="24">
        <v>15200</v>
      </c>
      <c r="C47" s="25">
        <v>53545</v>
      </c>
      <c r="D47" s="29"/>
      <c r="E47" s="29"/>
      <c r="F47" s="29"/>
      <c r="G47" s="28">
        <f t="shared" ref="G47:G49" si="5">B47+C47</f>
        <v>68745</v>
      </c>
      <c r="H47" s="27">
        <f t="shared" ref="H47:H49" si="6">G47*0.6</f>
        <v>41247</v>
      </c>
    </row>
    <row r="48" s="1" customFormat="1" customHeight="1" spans="1:8">
      <c r="A48" s="24" t="s">
        <v>58</v>
      </c>
      <c r="B48" s="24"/>
      <c r="C48" s="25">
        <v>59167</v>
      </c>
      <c r="D48" s="25">
        <v>65083</v>
      </c>
      <c r="E48" s="25">
        <v>71000</v>
      </c>
      <c r="F48" s="25">
        <v>76917</v>
      </c>
      <c r="G48" s="28">
        <f t="shared" si="5"/>
        <v>59167</v>
      </c>
      <c r="H48" s="27">
        <f t="shared" si="6"/>
        <v>35500.2</v>
      </c>
    </row>
    <row r="49" s="1" customFormat="1" customHeight="1" spans="1:8">
      <c r="A49" s="24" t="s">
        <v>59</v>
      </c>
      <c r="B49" s="24">
        <v>16000</v>
      </c>
      <c r="C49" s="25">
        <v>64788</v>
      </c>
      <c r="D49" s="25">
        <v>71267</v>
      </c>
      <c r="E49" s="25">
        <v>77746</v>
      </c>
      <c r="F49" s="25">
        <v>84225</v>
      </c>
      <c r="G49" s="28">
        <f t="shared" si="5"/>
        <v>80788</v>
      </c>
      <c r="H49" s="27">
        <f t="shared" si="6"/>
        <v>48472.8</v>
      </c>
    </row>
    <row r="50" s="1" customFormat="1" customHeight="1" spans="1:8">
      <c r="A50" s="24" t="s">
        <v>60</v>
      </c>
      <c r="B50" s="24"/>
      <c r="C50" s="25">
        <v>71533</v>
      </c>
      <c r="D50" s="25"/>
      <c r="E50" s="25"/>
      <c r="F50" s="25"/>
      <c r="G50" s="28"/>
      <c r="H50" s="27"/>
    </row>
    <row r="51" s="1" customFormat="1" customHeight="1" spans="1:8">
      <c r="A51" s="24" t="s">
        <v>61</v>
      </c>
      <c r="B51" s="24">
        <v>16800</v>
      </c>
      <c r="C51" s="25">
        <v>76030</v>
      </c>
      <c r="D51" s="29"/>
      <c r="E51" s="29"/>
      <c r="F51" s="29"/>
      <c r="G51" s="28">
        <f t="shared" ref="G51:G53" si="7">B51+C51</f>
        <v>92830</v>
      </c>
      <c r="H51" s="27">
        <f t="shared" ref="H51:H53" si="8">G51*0.6</f>
        <v>55698</v>
      </c>
    </row>
    <row r="52" s="1" customFormat="1" customHeight="1" spans="1:8">
      <c r="A52" s="24" t="s">
        <v>62</v>
      </c>
      <c r="B52" s="24">
        <v>17800</v>
      </c>
      <c r="C52" s="25">
        <v>87273</v>
      </c>
      <c r="D52" s="29"/>
      <c r="E52" s="29"/>
      <c r="F52" s="29"/>
      <c r="G52" s="28">
        <f t="shared" si="7"/>
        <v>105073</v>
      </c>
      <c r="H52" s="27">
        <f t="shared" si="8"/>
        <v>63043.8</v>
      </c>
    </row>
    <row r="53" s="1" customFormat="1" customHeight="1" spans="1:8">
      <c r="A53" s="24" t="s">
        <v>63</v>
      </c>
      <c r="B53" s="24">
        <v>18300</v>
      </c>
      <c r="C53" s="25">
        <v>98515</v>
      </c>
      <c r="D53" s="29"/>
      <c r="E53" s="29"/>
      <c r="F53" s="29"/>
      <c r="G53" s="28">
        <f t="shared" si="7"/>
        <v>116815</v>
      </c>
      <c r="H53" s="27">
        <f t="shared" si="8"/>
        <v>70089</v>
      </c>
    </row>
    <row r="54" s="1" customFormat="1" customHeight="1" spans="1:9">
      <c r="A54" s="24" t="s">
        <v>64</v>
      </c>
      <c r="B54" s="24"/>
      <c r="C54" s="25">
        <v>103012</v>
      </c>
      <c r="D54" s="29"/>
      <c r="E54" s="29"/>
      <c r="F54" s="29"/>
      <c r="G54" s="28"/>
      <c r="H54" s="27"/>
      <c r="I54" s="1" t="s">
        <v>65</v>
      </c>
    </row>
    <row r="55" s="1" customFormat="1" customHeight="1" spans="1:8">
      <c r="A55" s="24" t="s">
        <v>66</v>
      </c>
      <c r="B55" s="24">
        <v>19000</v>
      </c>
      <c r="C55" s="25">
        <v>109758</v>
      </c>
      <c r="D55" s="29"/>
      <c r="E55" s="29"/>
      <c r="F55" s="29"/>
      <c r="G55" s="28">
        <f t="shared" ref="G55:G67" si="9">B55+C55</f>
        <v>128758</v>
      </c>
      <c r="H55" s="27">
        <f t="shared" ref="H55:H67" si="10">G55*0.6</f>
        <v>77254.8</v>
      </c>
    </row>
    <row r="56" s="1" customFormat="1" customHeight="1" spans="1:8">
      <c r="A56" s="24" t="s">
        <v>67</v>
      </c>
      <c r="B56" s="24">
        <v>19800</v>
      </c>
      <c r="C56" s="25">
        <v>121000</v>
      </c>
      <c r="D56" s="25">
        <v>133100</v>
      </c>
      <c r="E56" s="25">
        <v>145200</v>
      </c>
      <c r="F56" s="25">
        <v>157300</v>
      </c>
      <c r="G56" s="28">
        <f t="shared" si="9"/>
        <v>140800</v>
      </c>
      <c r="H56" s="27">
        <f t="shared" si="10"/>
        <v>84480</v>
      </c>
    </row>
    <row r="57" s="1" customFormat="1" customHeight="1" spans="1:8">
      <c r="A57" s="24" t="s">
        <v>68</v>
      </c>
      <c r="B57" s="24">
        <v>27200</v>
      </c>
      <c r="C57" s="29"/>
      <c r="D57" s="29"/>
      <c r="E57" s="29"/>
      <c r="F57" s="29"/>
      <c r="G57" s="28"/>
      <c r="H57" s="27"/>
    </row>
    <row r="58" s="1" customFormat="1" customHeight="1" spans="1:8">
      <c r="A58" s="24" t="s">
        <v>69</v>
      </c>
      <c r="B58" s="24">
        <v>27900</v>
      </c>
      <c r="C58" s="25">
        <v>188000</v>
      </c>
      <c r="D58" s="25">
        <v>206800</v>
      </c>
      <c r="E58" s="25">
        <v>225600</v>
      </c>
      <c r="F58" s="25">
        <v>244400</v>
      </c>
      <c r="G58" s="28">
        <f t="shared" si="9"/>
        <v>215900</v>
      </c>
      <c r="H58" s="27">
        <f t="shared" si="10"/>
        <v>129540</v>
      </c>
    </row>
    <row r="59" s="1" customFormat="1" customHeight="1" spans="1:8">
      <c r="A59" s="24" t="s">
        <v>70</v>
      </c>
      <c r="B59" s="24">
        <v>32700</v>
      </c>
      <c r="C59" s="25">
        <v>204300</v>
      </c>
      <c r="D59" s="25">
        <v>224730</v>
      </c>
      <c r="E59" s="25">
        <v>245160</v>
      </c>
      <c r="F59" s="25">
        <v>265590</v>
      </c>
      <c r="G59" s="28">
        <f t="shared" si="9"/>
        <v>237000</v>
      </c>
      <c r="H59" s="27">
        <f t="shared" si="10"/>
        <v>142200</v>
      </c>
    </row>
    <row r="60" s="1" customFormat="1" customHeight="1" spans="1:8">
      <c r="A60" s="24" t="s">
        <v>71</v>
      </c>
      <c r="B60" s="24">
        <v>38100</v>
      </c>
      <c r="C60" s="25">
        <v>222500</v>
      </c>
      <c r="D60" s="25">
        <v>244750</v>
      </c>
      <c r="E60" s="25">
        <v>267000</v>
      </c>
      <c r="F60" s="25">
        <v>289250</v>
      </c>
      <c r="G60" s="28">
        <f t="shared" si="9"/>
        <v>260600</v>
      </c>
      <c r="H60" s="27">
        <f t="shared" si="10"/>
        <v>156360</v>
      </c>
    </row>
    <row r="61" s="1" customFormat="1" customHeight="1" spans="1:8">
      <c r="A61" s="24" t="s">
        <v>72</v>
      </c>
      <c r="B61" s="24">
        <v>43400</v>
      </c>
      <c r="C61" s="25">
        <v>240600</v>
      </c>
      <c r="D61" s="25">
        <v>264660</v>
      </c>
      <c r="E61" s="25">
        <v>288720</v>
      </c>
      <c r="F61" s="25">
        <v>312780</v>
      </c>
      <c r="G61" s="28">
        <f t="shared" si="9"/>
        <v>284000</v>
      </c>
      <c r="H61" s="27">
        <f t="shared" si="10"/>
        <v>170400</v>
      </c>
    </row>
    <row r="62" s="1" customFormat="1" customHeight="1" spans="1:8">
      <c r="A62" s="24" t="s">
        <v>73</v>
      </c>
      <c r="B62" s="24">
        <v>48800</v>
      </c>
      <c r="C62" s="25">
        <v>258800</v>
      </c>
      <c r="D62" s="25">
        <v>284680</v>
      </c>
      <c r="E62" s="25">
        <v>310560</v>
      </c>
      <c r="F62" s="25">
        <v>336440</v>
      </c>
      <c r="G62" s="28">
        <f t="shared" si="9"/>
        <v>307600</v>
      </c>
      <c r="H62" s="27">
        <f t="shared" si="10"/>
        <v>184560</v>
      </c>
    </row>
    <row r="63" s="1" customFormat="1" customHeight="1" spans="1:8">
      <c r="A63" s="24" t="s">
        <v>74</v>
      </c>
      <c r="B63" s="24">
        <v>54100</v>
      </c>
      <c r="C63" s="25">
        <v>276900</v>
      </c>
      <c r="D63" s="25">
        <v>304590</v>
      </c>
      <c r="E63" s="25">
        <v>332280</v>
      </c>
      <c r="F63" s="25">
        <v>359970</v>
      </c>
      <c r="G63" s="28">
        <f t="shared" si="9"/>
        <v>331000</v>
      </c>
      <c r="H63" s="27">
        <f t="shared" si="10"/>
        <v>198600</v>
      </c>
    </row>
    <row r="64" s="1" customFormat="1" customHeight="1" spans="1:8">
      <c r="A64" s="24" t="s">
        <v>75</v>
      </c>
      <c r="B64" s="24">
        <v>59500</v>
      </c>
      <c r="C64" s="25">
        <v>295100</v>
      </c>
      <c r="D64" s="25">
        <v>324610</v>
      </c>
      <c r="E64" s="25">
        <v>354120</v>
      </c>
      <c r="F64" s="25">
        <v>383630</v>
      </c>
      <c r="G64" s="28">
        <f t="shared" si="9"/>
        <v>354600</v>
      </c>
      <c r="H64" s="27">
        <f t="shared" si="10"/>
        <v>212760</v>
      </c>
    </row>
    <row r="65" s="1" customFormat="1" customHeight="1" spans="1:8">
      <c r="A65" s="24" t="s">
        <v>76</v>
      </c>
      <c r="B65" s="24">
        <v>64900</v>
      </c>
      <c r="C65" s="25">
        <v>313200</v>
      </c>
      <c r="D65" s="25">
        <v>344520</v>
      </c>
      <c r="E65" s="25">
        <v>375840</v>
      </c>
      <c r="F65" s="25">
        <v>407160</v>
      </c>
      <c r="G65" s="28">
        <f t="shared" si="9"/>
        <v>378100</v>
      </c>
      <c r="H65" s="27">
        <f t="shared" si="10"/>
        <v>226860</v>
      </c>
    </row>
    <row r="66" s="1" customFormat="1" customHeight="1" spans="1:8">
      <c r="A66" s="24" t="s">
        <v>77</v>
      </c>
      <c r="B66" s="24">
        <v>70200</v>
      </c>
      <c r="C66" s="25">
        <v>331400</v>
      </c>
      <c r="D66" s="25">
        <v>364540</v>
      </c>
      <c r="E66" s="25">
        <v>397680</v>
      </c>
      <c r="F66" s="25">
        <v>430820</v>
      </c>
      <c r="G66" s="28">
        <f t="shared" si="9"/>
        <v>401600</v>
      </c>
      <c r="H66" s="27">
        <f t="shared" si="10"/>
        <v>240960</v>
      </c>
    </row>
    <row r="67" s="1" customFormat="1" customHeight="1" spans="1:8">
      <c r="A67" s="24" t="s">
        <v>78</v>
      </c>
      <c r="B67" s="24">
        <v>75600</v>
      </c>
      <c r="C67" s="25">
        <v>349500</v>
      </c>
      <c r="D67" s="25">
        <v>384450</v>
      </c>
      <c r="E67" s="25">
        <v>419400</v>
      </c>
      <c r="F67" s="25">
        <v>454350</v>
      </c>
      <c r="G67" s="28">
        <f t="shared" si="9"/>
        <v>425100</v>
      </c>
      <c r="H67" s="27">
        <f t="shared" si="10"/>
        <v>255060</v>
      </c>
    </row>
    <row r="68" s="1" customFormat="1" customHeight="1" spans="1:8">
      <c r="A68" s="24" t="s">
        <v>79</v>
      </c>
      <c r="B68" s="24">
        <v>77900</v>
      </c>
      <c r="C68" s="29"/>
      <c r="D68" s="29"/>
      <c r="E68" s="29"/>
      <c r="F68" s="29"/>
      <c r="G68" s="28"/>
      <c r="H68" s="27"/>
    </row>
    <row r="69" s="1" customFormat="1" customHeight="1" spans="1:8">
      <c r="A69" s="24" t="s">
        <v>80</v>
      </c>
      <c r="B69" s="24">
        <v>80000</v>
      </c>
      <c r="C69" s="25">
        <v>367700</v>
      </c>
      <c r="D69" s="25">
        <v>404470</v>
      </c>
      <c r="E69" s="25">
        <v>441240</v>
      </c>
      <c r="F69" s="25">
        <v>478010</v>
      </c>
      <c r="G69" s="28">
        <f t="shared" ref="G69:G76" si="11">B69+C69</f>
        <v>447700</v>
      </c>
      <c r="H69" s="27">
        <f t="shared" ref="H69:H76" si="12">G69*0.6</f>
        <v>268620</v>
      </c>
    </row>
    <row r="70" s="1" customFormat="1" customHeight="1" spans="1:8">
      <c r="A70" s="24" t="s">
        <v>81</v>
      </c>
      <c r="B70" s="24">
        <v>83700</v>
      </c>
      <c r="C70" s="25">
        <v>385800</v>
      </c>
      <c r="D70" s="25">
        <v>424380</v>
      </c>
      <c r="E70" s="25">
        <v>462960</v>
      </c>
      <c r="F70" s="25">
        <v>501540</v>
      </c>
      <c r="G70" s="28">
        <f t="shared" si="11"/>
        <v>469500</v>
      </c>
      <c r="H70" s="27">
        <f t="shared" si="12"/>
        <v>281700</v>
      </c>
    </row>
    <row r="71" s="1" customFormat="1" customHeight="1" spans="1:8">
      <c r="A71" s="24" t="s">
        <v>82</v>
      </c>
      <c r="B71" s="24">
        <v>87500</v>
      </c>
      <c r="C71" s="29"/>
      <c r="D71" s="29"/>
      <c r="E71" s="29"/>
      <c r="F71" s="29"/>
      <c r="G71" s="28"/>
      <c r="H71" s="27"/>
    </row>
    <row r="72" s="1" customFormat="1" customHeight="1" spans="1:8">
      <c r="A72" s="24" t="s">
        <v>83</v>
      </c>
      <c r="B72" s="24">
        <v>91200</v>
      </c>
      <c r="C72" s="25">
        <v>422100</v>
      </c>
      <c r="D72" s="25">
        <v>464310</v>
      </c>
      <c r="E72" s="25">
        <v>506520</v>
      </c>
      <c r="F72" s="25">
        <v>548730</v>
      </c>
      <c r="G72" s="28">
        <f t="shared" si="11"/>
        <v>513300</v>
      </c>
      <c r="H72" s="27">
        <f t="shared" si="12"/>
        <v>307980</v>
      </c>
    </row>
    <row r="73" s="1" customFormat="1" customHeight="1" spans="1:8">
      <c r="A73" s="24" t="s">
        <v>84</v>
      </c>
      <c r="B73" s="24">
        <v>94900</v>
      </c>
      <c r="C73" s="25">
        <v>440300</v>
      </c>
      <c r="D73" s="25">
        <v>484330</v>
      </c>
      <c r="E73" s="25">
        <v>528360</v>
      </c>
      <c r="F73" s="25">
        <v>572390</v>
      </c>
      <c r="G73" s="28">
        <f t="shared" si="11"/>
        <v>535200</v>
      </c>
      <c r="H73" s="27">
        <f t="shared" si="12"/>
        <v>321120</v>
      </c>
    </row>
    <row r="74" s="1" customFormat="1" customHeight="1" spans="1:8">
      <c r="A74" s="24" t="s">
        <v>85</v>
      </c>
      <c r="B74" s="24">
        <v>98600</v>
      </c>
      <c r="C74" s="25">
        <v>458400</v>
      </c>
      <c r="D74" s="25">
        <v>504240</v>
      </c>
      <c r="E74" s="25">
        <v>550080</v>
      </c>
      <c r="F74" s="25">
        <v>595920</v>
      </c>
      <c r="G74" s="28">
        <f t="shared" si="11"/>
        <v>557000</v>
      </c>
      <c r="H74" s="27">
        <f t="shared" si="12"/>
        <v>334200</v>
      </c>
    </row>
    <row r="75" s="1" customFormat="1" customHeight="1" spans="1:8">
      <c r="A75" s="24" t="s">
        <v>86</v>
      </c>
      <c r="B75" s="24">
        <v>102400</v>
      </c>
      <c r="C75" s="25">
        <v>476600</v>
      </c>
      <c r="D75" s="25">
        <v>524260</v>
      </c>
      <c r="E75" s="25">
        <v>571920</v>
      </c>
      <c r="F75" s="25">
        <v>619580</v>
      </c>
      <c r="G75" s="28">
        <f t="shared" si="11"/>
        <v>579000</v>
      </c>
      <c r="H75" s="27">
        <f t="shared" si="12"/>
        <v>347400</v>
      </c>
    </row>
    <row r="76" s="1" customFormat="1" customHeight="1" spans="1:8">
      <c r="A76" s="24" t="s">
        <v>87</v>
      </c>
      <c r="B76" s="24">
        <v>106100</v>
      </c>
      <c r="C76" s="25">
        <v>503447</v>
      </c>
      <c r="D76" s="25">
        <v>553792</v>
      </c>
      <c r="E76" s="25">
        <v>604136</v>
      </c>
      <c r="F76" s="25">
        <v>654481</v>
      </c>
      <c r="G76" s="28">
        <f t="shared" si="11"/>
        <v>609547</v>
      </c>
      <c r="H76" s="27">
        <f t="shared" si="12"/>
        <v>365728.2</v>
      </c>
    </row>
    <row r="77" s="1" customFormat="1" customHeight="1" spans="1:8">
      <c r="A77" s="24" t="s">
        <v>88</v>
      </c>
      <c r="B77" s="24">
        <v>180600</v>
      </c>
      <c r="C77" s="29"/>
      <c r="D77" s="29"/>
      <c r="E77" s="29"/>
      <c r="F77" s="29"/>
      <c r="G77" s="28"/>
      <c r="H77" s="27"/>
    </row>
    <row r="78" s="1" customFormat="1" customHeight="1" spans="1:8">
      <c r="A78" s="24" t="s">
        <v>89</v>
      </c>
      <c r="B78" s="24">
        <v>217800</v>
      </c>
      <c r="C78" s="25">
        <v>1033000</v>
      </c>
      <c r="D78" s="25">
        <v>1136300</v>
      </c>
      <c r="E78" s="25">
        <v>1239600</v>
      </c>
      <c r="F78" s="25">
        <v>1342900</v>
      </c>
      <c r="G78" s="28">
        <f t="shared" ref="G78:G86" si="13">B78+C78</f>
        <v>1250800</v>
      </c>
      <c r="H78" s="27">
        <f t="shared" ref="H78:H86" si="14">G78*0.6</f>
        <v>750480</v>
      </c>
    </row>
    <row r="79" s="1" customFormat="1" customHeight="1" spans="1:8">
      <c r="A79" s="24" t="s">
        <v>90</v>
      </c>
      <c r="B79" s="24">
        <v>237900</v>
      </c>
      <c r="C79" s="25">
        <v>1212388</v>
      </c>
      <c r="D79" s="25">
        <v>1333627</v>
      </c>
      <c r="E79" s="25">
        <v>1454865</v>
      </c>
      <c r="F79" s="25">
        <v>1576104</v>
      </c>
      <c r="G79" s="28">
        <f t="shared" si="13"/>
        <v>1450288</v>
      </c>
      <c r="H79" s="27">
        <f t="shared" si="14"/>
        <v>870172.8</v>
      </c>
    </row>
    <row r="80" s="1" customFormat="1" customHeight="1" spans="1:8">
      <c r="A80" s="24" t="s">
        <v>91</v>
      </c>
      <c r="B80" s="24">
        <v>277900</v>
      </c>
      <c r="C80" s="25">
        <v>1571164</v>
      </c>
      <c r="D80" s="25">
        <v>1728280</v>
      </c>
      <c r="E80" s="25">
        <v>1885396</v>
      </c>
      <c r="F80" s="25">
        <v>2042513</v>
      </c>
      <c r="G80" s="28">
        <f t="shared" si="13"/>
        <v>1849064</v>
      </c>
      <c r="H80" s="27">
        <f t="shared" si="14"/>
        <v>1109438.4</v>
      </c>
    </row>
    <row r="81" s="1" customFormat="1" customHeight="1" spans="1:8">
      <c r="A81" s="24" t="s">
        <v>92</v>
      </c>
      <c r="B81" s="24">
        <v>317900</v>
      </c>
      <c r="C81" s="25">
        <v>1929939</v>
      </c>
      <c r="D81" s="25">
        <v>2122933</v>
      </c>
      <c r="E81" s="25">
        <v>2315927</v>
      </c>
      <c r="F81" s="25">
        <v>2508921</v>
      </c>
      <c r="G81" s="28">
        <f t="shared" si="13"/>
        <v>2247839</v>
      </c>
      <c r="H81" s="27">
        <f t="shared" si="14"/>
        <v>1348703.4</v>
      </c>
    </row>
    <row r="82" s="1" customFormat="1" customHeight="1" spans="1:8">
      <c r="A82" s="24" t="s">
        <v>93</v>
      </c>
      <c r="B82" s="24">
        <v>357900</v>
      </c>
      <c r="C82" s="25">
        <v>2288715</v>
      </c>
      <c r="D82" s="25">
        <v>2517587</v>
      </c>
      <c r="E82" s="25">
        <v>2746458</v>
      </c>
      <c r="F82" s="25">
        <v>2975330</v>
      </c>
      <c r="G82" s="28">
        <f t="shared" si="13"/>
        <v>2646615</v>
      </c>
      <c r="H82" s="27">
        <f t="shared" si="14"/>
        <v>1587969</v>
      </c>
    </row>
    <row r="83" s="1" customFormat="1" customHeight="1" spans="1:8">
      <c r="A83" s="24" t="s">
        <v>94</v>
      </c>
      <c r="B83" s="24">
        <v>397900</v>
      </c>
      <c r="C83" s="25">
        <v>2647491</v>
      </c>
      <c r="D83" s="25">
        <v>2912240</v>
      </c>
      <c r="E83" s="25">
        <v>3176989</v>
      </c>
      <c r="F83" s="25">
        <v>3441738</v>
      </c>
      <c r="G83" s="28">
        <f t="shared" si="13"/>
        <v>3045391</v>
      </c>
      <c r="H83" s="27">
        <f t="shared" si="14"/>
        <v>1827234.6</v>
      </c>
    </row>
    <row r="84" s="1" customFormat="1" customHeight="1" spans="1:8">
      <c r="A84" s="24" t="s">
        <v>95</v>
      </c>
      <c r="B84" s="24">
        <v>437900</v>
      </c>
      <c r="C84" s="25">
        <v>3006267</v>
      </c>
      <c r="D84" s="25">
        <v>3306893</v>
      </c>
      <c r="E84" s="25">
        <v>3607520</v>
      </c>
      <c r="F84" s="25">
        <v>3908147</v>
      </c>
      <c r="G84" s="28">
        <f t="shared" si="13"/>
        <v>3444167</v>
      </c>
      <c r="H84" s="27">
        <f t="shared" si="14"/>
        <v>2066500.2</v>
      </c>
    </row>
    <row r="85" s="1" customFormat="1" customHeight="1" spans="1:8">
      <c r="A85" s="24" t="s">
        <v>96</v>
      </c>
      <c r="B85" s="24">
        <v>477900</v>
      </c>
      <c r="C85" s="25">
        <v>3365042</v>
      </c>
      <c r="D85" s="25">
        <v>3701547</v>
      </c>
      <c r="E85" s="25">
        <v>4038051</v>
      </c>
      <c r="F85" s="25">
        <v>4374555</v>
      </c>
      <c r="G85" s="28">
        <f t="shared" si="13"/>
        <v>3842942</v>
      </c>
      <c r="H85" s="27">
        <f t="shared" si="14"/>
        <v>2305765.2</v>
      </c>
    </row>
    <row r="86" s="1" customFormat="1" customHeight="1" spans="1:8">
      <c r="A86" s="24" t="s">
        <v>97</v>
      </c>
      <c r="B86" s="24">
        <v>518000</v>
      </c>
      <c r="C86" s="25">
        <v>3723818</v>
      </c>
      <c r="D86" s="25">
        <v>4096200</v>
      </c>
      <c r="E86" s="25">
        <v>4468582</v>
      </c>
      <c r="F86" s="25">
        <v>4840964</v>
      </c>
      <c r="G86" s="28">
        <f t="shared" si="13"/>
        <v>4241818</v>
      </c>
      <c r="H86" s="27">
        <f t="shared" si="14"/>
        <v>2545090.8</v>
      </c>
    </row>
    <row r="87" s="1" customFormat="1" customHeight="1" spans="1:7">
      <c r="A87" s="31" t="s">
        <v>98</v>
      </c>
      <c r="B87" s="31"/>
      <c r="C87" s="31"/>
      <c r="D87" s="31"/>
      <c r="E87" s="31"/>
      <c r="F87" s="31"/>
      <c r="G87" s="31"/>
    </row>
    <row r="89" s="1" customFormat="1" customHeight="1" spans="1:1">
      <c r="A89" s="19" t="s">
        <v>99</v>
      </c>
    </row>
    <row r="90" s="1" customFormat="1" customHeight="1" spans="1:1">
      <c r="A90" s="31" t="s">
        <v>100</v>
      </c>
    </row>
  </sheetData>
  <mergeCells count="7">
    <mergeCell ref="A1:E1"/>
    <mergeCell ref="A2:F2"/>
    <mergeCell ref="A9:F9"/>
    <mergeCell ref="C31:F31"/>
    <mergeCell ref="G32:H32"/>
    <mergeCell ref="A31:A32"/>
    <mergeCell ref="B31:B32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Worksheet" r:id="rId3" dvAspect="DVASPECT_ICON">
          <objectPr defaultSize="0" r:id="rId4">
            <anchor moveWithCells="1">
              <from>
                <xdr:col>0</xdr:col>
                <xdr:colOff>365760</xdr:colOff>
                <xdr:row>90</xdr:row>
                <xdr:rowOff>137160</xdr:rowOff>
              </from>
              <to>
                <xdr:col>0</xdr:col>
                <xdr:colOff>1280160</xdr:colOff>
                <xdr:row>93</xdr:row>
                <xdr:rowOff>137160</xdr:rowOff>
              </to>
            </anchor>
          </objectPr>
        </oleObject>
      </mc:Choice>
      <mc:Fallback>
        <oleObject shapeId="1025" progId="Worksheet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MPLS-VPN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caill</dc:creator>
  <cp:lastModifiedBy>蔡丽丽</cp:lastModifiedBy>
  <dcterms:created xsi:type="dcterms:W3CDTF">2026-06-12T07:50:20Z</dcterms:created>
  <dcterms:modified xsi:type="dcterms:W3CDTF">2026-06-12T07:54:33Z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9D79D10371974ED4B178E89C80986B7C_11</vt:lpwstr>
  </property>
  <property fmtid="{D5CDD505-2E9C-101B-9397-08002B2CF9AE}" pid="3" name="KSOProductBuildVer">
    <vt:lpwstr>2052-12.1.0.19302</vt:lpwstr>
  </property>
</Properties>
</file>