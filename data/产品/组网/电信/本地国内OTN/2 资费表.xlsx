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OT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<sst xmlns="http://schemas.openxmlformats.org/spreadsheetml/2006/main" count="90" uniqueCount="57">
  <si>
    <t>大带宽传输专线资费</t>
  </si>
  <si>
    <t>1、一次性费用</t>
  </si>
  <si>
    <t>本地及长途线路的工料费、工程费、调测费、培训费等，由具体询价后确定。</t>
  </si>
  <si>
    <t>2、业务月租费</t>
  </si>
  <si>
    <t>速率</t>
  </si>
  <si>
    <t>银级电路
（元/月）</t>
  </si>
  <si>
    <t>金级电路
（元/月）</t>
  </si>
  <si>
    <t>钻石级电路
（元/月）</t>
  </si>
  <si>
    <t>本地</t>
  </si>
  <si>
    <t>长途</t>
  </si>
  <si>
    <t>1G</t>
  </si>
  <si>
    <t>2.5G</t>
  </si>
  <si>
    <t>10G</t>
  </si>
  <si>
    <t>40G</t>
  </si>
  <si>
    <t>100G</t>
  </si>
  <si>
    <t>说明：
GE即Gigabit Ethernet，指千兆以太网。</t>
  </si>
  <si>
    <t>一、本地OTN</t>
  </si>
  <si>
    <t>标准资费
（元/月）</t>
  </si>
  <si>
    <t>银</t>
  </si>
  <si>
    <t>金</t>
  </si>
  <si>
    <t>钻石</t>
  </si>
  <si>
    <t>二、国内OTN</t>
  </si>
  <si>
    <t>本地月租费</t>
  </si>
  <si>
    <t>国内端口费</t>
  </si>
  <si>
    <t>国内月租费</t>
  </si>
  <si>
    <t>国内OTN【银】</t>
  </si>
  <si>
    <t>对端本地</t>
  </si>
  <si>
    <t>国内长途</t>
  </si>
  <si>
    <t>长途全程标准价</t>
  </si>
  <si>
    <t>500M</t>
  </si>
  <si>
    <t>550M</t>
  </si>
  <si>
    <t>600M</t>
  </si>
  <si>
    <t>622M</t>
  </si>
  <si>
    <t>650M</t>
  </si>
  <si>
    <t>700M</t>
  </si>
  <si>
    <t>750M</t>
  </si>
  <si>
    <t>800M</t>
  </si>
  <si>
    <t>850M</t>
  </si>
  <si>
    <t>900M</t>
  </si>
  <si>
    <t>950M</t>
  </si>
  <si>
    <t>1.5G</t>
  </si>
  <si>
    <t>2G</t>
  </si>
  <si>
    <t>3G</t>
  </si>
  <si>
    <t>3.5G</t>
  </si>
  <si>
    <t>4G</t>
  </si>
  <si>
    <t>5G</t>
  </si>
  <si>
    <t>6G</t>
  </si>
  <si>
    <t>7G</t>
  </si>
  <si>
    <t>8G</t>
  </si>
  <si>
    <t>9G</t>
  </si>
  <si>
    <t>20G</t>
  </si>
  <si>
    <t>30G</t>
  </si>
  <si>
    <t>50G</t>
  </si>
  <si>
    <t>60G</t>
  </si>
  <si>
    <t>70G</t>
  </si>
  <si>
    <t>80G</t>
  </si>
  <si>
    <t>90G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</si>
</sst>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595959"/>
      <name val="宋体"/>
      <charset val="134"/>
    </font>
    <font>
      <b/>
      <sz val="11"/>
      <color rgb="FF595959"/>
      <name val="宋体"/>
      <charset val="134"/>
    </font>
    <font>
      <b/>
      <sz val="11"/>
      <color theme="1"/>
      <name val="宋体"/>
      <charset val="134"/>
    </font>
    <font>
      <b/>
      <sz val="11"/>
      <color indexed="8"/>
      <name val="宋体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462874233222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6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8" borderId="16" applyNumberFormat="0" applyAlignment="0" applyProtection="0">
      <alignment vertical="center"/>
    </xf>
    <xf numFmtId="0" fontId="26" fillId="9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 indent="2"/>
    </xf>
    <xf numFmtId="0" fontId="5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wrapText="1"/>
    </xf>
    <xf numFmtId="0" fontId="13" fillId="0" borderId="1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tabSelected="1" workbookViewId="0">
      <selection activeCell="E28" sqref="E28:G28"/>
    </sheetView>
  </sheetViews>
  <sheetFormatPr defaultColWidth="9" defaultRowHeight="13.5"/>
  <cols>
    <col min="1" max="1" width="9" style="1"/>
    <col min="2" max="3" width="12.1083333333333" style="1" customWidth="1"/>
    <col min="4" max="4" width="12.4416666666667" style="1" customWidth="1"/>
    <col min="5" max="5" width="17.125" style="1" customWidth="1"/>
    <col min="6" max="6" width="12.5583333333333" style="1" customWidth="1"/>
    <col min="7" max="7" width="13.225" style="1" customWidth="1"/>
    <col min="8" max="8" width="13.1083333333333" style="1" customWidth="1"/>
    <col min="9" max="9" width="12" style="1" customWidth="1"/>
    <col min="10" max="10" width="11.8916666666667" style="1" customWidth="1"/>
    <col min="11" max="16384" width="9" style="1"/>
  </cols>
  <sheetData>
    <row r="1" s="1" customFormat="1" ht="17.4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spans="1:10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spans="1:10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="1" customFormat="1" spans="1:10">
      <c r="A4" s="6"/>
      <c r="B4" s="4"/>
      <c r="C4" s="4"/>
      <c r="D4" s="4"/>
      <c r="E4" s="4"/>
      <c r="F4" s="4"/>
      <c r="G4" s="4"/>
      <c r="H4" s="4"/>
      <c r="I4" s="4"/>
      <c r="J4" s="4"/>
    </row>
    <row r="5" s="1" customFormat="1" spans="1:10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="1" customFormat="1" spans="1:10">
      <c r="A6" s="7" t="s">
        <v>4</v>
      </c>
      <c r="B6" s="8" t="s">
        <v>5</v>
      </c>
      <c r="C6" s="9"/>
      <c r="D6" s="8" t="s">
        <v>6</v>
      </c>
      <c r="E6" s="9"/>
      <c r="F6" s="8" t="s">
        <v>7</v>
      </c>
      <c r="G6" s="9"/>
      <c r="H6" s="4"/>
      <c r="I6" s="4"/>
      <c r="J6" s="4"/>
    </row>
    <row r="7" s="1" customFormat="1" spans="1:10">
      <c r="A7" s="7"/>
      <c r="B7" s="10"/>
      <c r="C7" s="11"/>
      <c r="D7" s="10"/>
      <c r="E7" s="11"/>
      <c r="F7" s="10"/>
      <c r="G7" s="11"/>
      <c r="H7" s="4"/>
      <c r="I7" s="4"/>
      <c r="J7" s="4"/>
    </row>
    <row r="8" s="1" customFormat="1" spans="1:10">
      <c r="A8" s="7"/>
      <c r="B8" s="7" t="s">
        <v>8</v>
      </c>
      <c r="C8" s="12" t="s">
        <v>9</v>
      </c>
      <c r="D8" s="7" t="s">
        <v>8</v>
      </c>
      <c r="E8" s="12" t="s">
        <v>9</v>
      </c>
      <c r="F8" s="7" t="s">
        <v>8</v>
      </c>
      <c r="G8" s="12" t="s">
        <v>9</v>
      </c>
      <c r="H8" s="4"/>
      <c r="I8" s="4"/>
      <c r="J8" s="4"/>
    </row>
    <row r="9" s="1" customFormat="1" spans="1:10">
      <c r="A9" s="13" t="s">
        <v>10</v>
      </c>
      <c r="B9" s="13">
        <v>167482</v>
      </c>
      <c r="C9" s="14">
        <v>503447</v>
      </c>
      <c r="D9" s="13">
        <v>284000</v>
      </c>
      <c r="E9" s="14">
        <v>855000</v>
      </c>
      <c r="F9" s="13">
        <v>385000</v>
      </c>
      <c r="G9" s="14">
        <v>1158000</v>
      </c>
      <c r="H9" s="4"/>
      <c r="I9" s="4"/>
      <c r="J9" s="4"/>
    </row>
    <row r="10" s="1" customFormat="1" spans="1:10">
      <c r="A10" s="13" t="s">
        <v>11</v>
      </c>
      <c r="B10" s="13">
        <v>344000</v>
      </c>
      <c r="C10" s="13">
        <v>1033000</v>
      </c>
      <c r="D10" s="13">
        <v>584000</v>
      </c>
      <c r="E10" s="14">
        <v>1756000</v>
      </c>
      <c r="F10" s="13">
        <v>791000</v>
      </c>
      <c r="G10" s="14">
        <v>2376000</v>
      </c>
      <c r="H10" s="4"/>
      <c r="I10" s="4"/>
      <c r="J10" s="4"/>
    </row>
    <row r="11" s="1" customFormat="1" spans="1:10">
      <c r="A11" s="13" t="s">
        <v>12</v>
      </c>
      <c r="B11" s="13">
        <v>818000</v>
      </c>
      <c r="C11" s="14">
        <v>2458000</v>
      </c>
      <c r="D11" s="13">
        <v>1391000</v>
      </c>
      <c r="E11" s="14">
        <v>4180000</v>
      </c>
      <c r="F11" s="13">
        <v>1883000</v>
      </c>
      <c r="G11" s="14">
        <v>5654000</v>
      </c>
      <c r="H11" s="4"/>
      <c r="I11" s="4"/>
      <c r="J11" s="4"/>
    </row>
    <row r="12" s="1" customFormat="1" spans="1:10">
      <c r="A12" s="13" t="s">
        <v>13</v>
      </c>
      <c r="B12" s="13">
        <v>2292000</v>
      </c>
      <c r="C12" s="14">
        <v>6884000</v>
      </c>
      <c r="D12" s="13">
        <v>3897000</v>
      </c>
      <c r="E12" s="14">
        <v>11702000</v>
      </c>
      <c r="F12" s="13">
        <v>5272000</v>
      </c>
      <c r="G12" s="14">
        <v>15833000</v>
      </c>
      <c r="H12" s="4"/>
      <c r="I12" s="4"/>
      <c r="J12" s="4"/>
    </row>
    <row r="13" s="1" customFormat="1" spans="1:10">
      <c r="A13" s="13" t="s">
        <v>14</v>
      </c>
      <c r="B13" s="13">
        <v>3897000</v>
      </c>
      <c r="C13" s="13">
        <v>11702000</v>
      </c>
      <c r="D13" s="13">
        <v>6625000</v>
      </c>
      <c r="E13" s="14">
        <v>19894000</v>
      </c>
      <c r="F13" s="13">
        <v>8963000</v>
      </c>
      <c r="G13" s="14">
        <v>26916000</v>
      </c>
      <c r="H13" s="4"/>
      <c r="I13" s="4"/>
      <c r="J13" s="4"/>
    </row>
    <row r="14" s="1" customFormat="1" spans="1:10">
      <c r="A14" s="15" t="s">
        <v>15</v>
      </c>
      <c r="B14" s="16"/>
      <c r="C14" s="16"/>
      <c r="D14" s="16"/>
      <c r="E14" s="16"/>
      <c r="F14" s="16"/>
      <c r="G14" s="16"/>
      <c r="H14" s="4"/>
      <c r="I14" s="4"/>
      <c r="J14" s="4"/>
    </row>
    <row r="15" s="1" customFormat="1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="1" customFormat="1" spans="1:10">
      <c r="A16" s="17" t="s">
        <v>16</v>
      </c>
      <c r="B16" s="4"/>
      <c r="C16" s="4"/>
      <c r="D16" s="4"/>
      <c r="E16" s="4"/>
      <c r="F16" s="4"/>
      <c r="G16" s="4"/>
      <c r="H16" s="4"/>
      <c r="I16" s="4"/>
      <c r="J16" s="4"/>
    </row>
    <row r="17" s="1" customFormat="1" ht="62.4" customHeight="1" spans="1:10">
      <c r="A17" s="18" t="s">
        <v>4</v>
      </c>
      <c r="B17" s="19" t="s">
        <v>17</v>
      </c>
      <c r="C17" s="20"/>
      <c r="D17" s="21"/>
      <c r="E17" s="4"/>
      <c r="F17" s="4"/>
      <c r="G17" s="4"/>
      <c r="H17" s="4"/>
      <c r="I17" s="4"/>
      <c r="J17" s="4"/>
    </row>
    <row r="18" s="1" customFormat="1" spans="1:10">
      <c r="A18" s="22"/>
      <c r="B18" s="23" t="s">
        <v>18</v>
      </c>
      <c r="C18" s="24" t="s">
        <v>19</v>
      </c>
      <c r="D18" s="24" t="s">
        <v>20</v>
      </c>
      <c r="E18" s="4"/>
      <c r="F18" s="4"/>
      <c r="G18" s="4"/>
      <c r="H18" s="4"/>
      <c r="I18" s="4"/>
      <c r="J18" s="4"/>
    </row>
    <row r="19" s="1" customFormat="1" spans="1:10">
      <c r="A19" s="25" t="s">
        <v>10</v>
      </c>
      <c r="B19" s="25">
        <v>167482</v>
      </c>
      <c r="C19" s="25">
        <v>284000</v>
      </c>
      <c r="D19" s="25">
        <v>385000</v>
      </c>
      <c r="E19" s="4"/>
      <c r="F19" s="4"/>
      <c r="G19" s="4"/>
      <c r="H19" s="4"/>
      <c r="I19" s="4"/>
      <c r="J19" s="4"/>
    </row>
    <row r="20" s="1" customFormat="1" spans="1:10">
      <c r="A20" s="25" t="s">
        <v>11</v>
      </c>
      <c r="B20" s="25">
        <v>344000</v>
      </c>
      <c r="C20" s="25">
        <v>584000</v>
      </c>
      <c r="D20" s="25">
        <v>791000</v>
      </c>
      <c r="E20" s="4"/>
      <c r="F20" s="4"/>
      <c r="G20" s="4"/>
      <c r="H20" s="4"/>
      <c r="I20" s="4"/>
      <c r="J20" s="4"/>
    </row>
    <row r="21" s="1" customFormat="1" spans="1:10">
      <c r="A21" s="25" t="s">
        <v>12</v>
      </c>
      <c r="B21" s="25">
        <v>818000</v>
      </c>
      <c r="C21" s="25">
        <v>1391000</v>
      </c>
      <c r="D21" s="25">
        <v>1883000</v>
      </c>
      <c r="E21" s="4"/>
      <c r="F21" s="4"/>
      <c r="G21" s="4"/>
      <c r="H21" s="4"/>
      <c r="I21" s="4"/>
      <c r="J21" s="4"/>
    </row>
    <row r="22" s="1" customFormat="1" spans="1:10">
      <c r="A22" s="25" t="s">
        <v>13</v>
      </c>
      <c r="B22" s="25">
        <v>2292000</v>
      </c>
      <c r="C22" s="25">
        <v>3897000</v>
      </c>
      <c r="D22" s="25">
        <v>5272000</v>
      </c>
      <c r="E22" s="4"/>
      <c r="F22" s="4"/>
      <c r="G22" s="4"/>
      <c r="H22" s="4"/>
      <c r="I22" s="4"/>
      <c r="J22" s="4"/>
    </row>
    <row r="23" s="1" customFormat="1" spans="1:10">
      <c r="A23" s="25" t="s">
        <v>14</v>
      </c>
      <c r="B23" s="25">
        <v>3897000</v>
      </c>
      <c r="C23" s="25">
        <v>6625000</v>
      </c>
      <c r="D23" s="25">
        <v>8963000</v>
      </c>
      <c r="E23" s="4"/>
      <c r="F23" s="4"/>
      <c r="G23" s="4"/>
      <c r="H23" s="4"/>
      <c r="I23" s="4"/>
      <c r="J23" s="4"/>
    </row>
    <row r="24" s="1" customFormat="1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="1" customFormat="1" spans="1:10">
      <c r="A25" s="17" t="s">
        <v>21</v>
      </c>
      <c r="B25" s="4"/>
      <c r="C25" s="4"/>
      <c r="D25" s="4"/>
      <c r="E25" s="4"/>
      <c r="F25" s="4"/>
      <c r="G25" s="4"/>
      <c r="H25" s="4"/>
      <c r="I25" s="4"/>
      <c r="J25" s="4"/>
    </row>
    <row r="26" s="1" customFormat="1" ht="33" customHeight="1" spans="1:10">
      <c r="A26" s="26" t="s">
        <v>4</v>
      </c>
      <c r="B26" s="27" t="s">
        <v>17</v>
      </c>
      <c r="C26" s="28"/>
      <c r="D26" s="28"/>
      <c r="E26" s="28"/>
      <c r="F26" s="28"/>
      <c r="G26" s="28"/>
      <c r="H26" s="28"/>
      <c r="I26" s="28"/>
      <c r="J26" s="44"/>
    </row>
    <row r="27" s="1" customFormat="1" spans="1:10">
      <c r="A27" s="26"/>
      <c r="B27" s="26" t="s">
        <v>22</v>
      </c>
      <c r="C27" s="29" t="s">
        <v>23</v>
      </c>
      <c r="D27" s="29" t="s">
        <v>24</v>
      </c>
      <c r="E27" s="26" t="s">
        <v>22</v>
      </c>
      <c r="F27" s="29" t="s">
        <v>23</v>
      </c>
      <c r="G27" s="29" t="s">
        <v>24</v>
      </c>
      <c r="H27" s="26" t="s">
        <v>22</v>
      </c>
      <c r="I27" s="29" t="s">
        <v>23</v>
      </c>
      <c r="J27" s="29" t="s">
        <v>24</v>
      </c>
    </row>
    <row r="28" s="1" customFormat="1" spans="1:10">
      <c r="A28" s="30"/>
      <c r="B28" s="30" t="s">
        <v>18</v>
      </c>
      <c r="C28" s="30"/>
      <c r="D28" s="30"/>
      <c r="E28" s="30" t="s">
        <v>19</v>
      </c>
      <c r="F28" s="30"/>
      <c r="G28" s="30"/>
      <c r="H28" s="30" t="s">
        <v>20</v>
      </c>
      <c r="I28" s="30"/>
      <c r="J28" s="30"/>
    </row>
    <row r="29" s="1" customFormat="1" spans="1:10">
      <c r="A29" s="25" t="s">
        <v>10</v>
      </c>
      <c r="B29" s="25">
        <v>167482</v>
      </c>
      <c r="C29" s="25">
        <v>167482</v>
      </c>
      <c r="D29" s="31">
        <v>503447</v>
      </c>
      <c r="E29" s="25">
        <v>284000</v>
      </c>
      <c r="F29" s="25">
        <v>284000</v>
      </c>
      <c r="G29" s="31">
        <v>855000</v>
      </c>
      <c r="H29" s="25">
        <v>385000</v>
      </c>
      <c r="I29" s="25">
        <v>385000</v>
      </c>
      <c r="J29" s="31">
        <v>1158000</v>
      </c>
    </row>
    <row r="30" s="1" customFormat="1" spans="1:10">
      <c r="A30" s="25" t="s">
        <v>11</v>
      </c>
      <c r="B30" s="25">
        <v>344000</v>
      </c>
      <c r="C30" s="25">
        <v>344000</v>
      </c>
      <c r="D30" s="25">
        <v>1033000</v>
      </c>
      <c r="E30" s="25">
        <v>584000</v>
      </c>
      <c r="F30" s="25">
        <v>584000</v>
      </c>
      <c r="G30" s="31">
        <v>1756000</v>
      </c>
      <c r="H30" s="25">
        <v>791000</v>
      </c>
      <c r="I30" s="25">
        <v>791000</v>
      </c>
      <c r="J30" s="31">
        <v>2376000</v>
      </c>
    </row>
    <row r="31" s="1" customFormat="1" spans="1:10">
      <c r="A31" s="25" t="s">
        <v>12</v>
      </c>
      <c r="B31" s="25">
        <v>818000</v>
      </c>
      <c r="C31" s="25">
        <v>818000</v>
      </c>
      <c r="D31" s="31">
        <v>2458000</v>
      </c>
      <c r="E31" s="25">
        <v>1391000</v>
      </c>
      <c r="F31" s="25">
        <v>1391000</v>
      </c>
      <c r="G31" s="31">
        <v>4180000</v>
      </c>
      <c r="H31" s="25">
        <v>1883000</v>
      </c>
      <c r="I31" s="25">
        <v>1883000</v>
      </c>
      <c r="J31" s="31">
        <v>5654000</v>
      </c>
    </row>
    <row r="32" s="1" customFormat="1" spans="1:10">
      <c r="A32" s="25" t="s">
        <v>13</v>
      </c>
      <c r="B32" s="25">
        <v>2292000</v>
      </c>
      <c r="C32" s="25">
        <v>2292000</v>
      </c>
      <c r="D32" s="31">
        <v>6884000</v>
      </c>
      <c r="E32" s="25">
        <v>3897000</v>
      </c>
      <c r="F32" s="25">
        <v>3897000</v>
      </c>
      <c r="G32" s="31">
        <v>11702000</v>
      </c>
      <c r="H32" s="25">
        <v>5272000</v>
      </c>
      <c r="I32" s="25">
        <v>5272000</v>
      </c>
      <c r="J32" s="31">
        <v>15833000</v>
      </c>
    </row>
    <row r="33" s="1" customFormat="1" spans="1:10">
      <c r="A33" s="25" t="s">
        <v>14</v>
      </c>
      <c r="B33" s="25">
        <v>3897000</v>
      </c>
      <c r="C33" s="25">
        <v>3897000</v>
      </c>
      <c r="D33" s="25">
        <v>11702000</v>
      </c>
      <c r="E33" s="25">
        <v>6625000</v>
      </c>
      <c r="F33" s="25">
        <v>6625000</v>
      </c>
      <c r="G33" s="31">
        <v>19894000</v>
      </c>
      <c r="H33" s="25">
        <v>8963000</v>
      </c>
      <c r="I33" s="25">
        <v>8963000</v>
      </c>
      <c r="J33" s="31">
        <v>26916000</v>
      </c>
    </row>
    <row r="35" s="1" customFormat="1" ht="41" customHeight="1" spans="1:1">
      <c r="A35" s="32" t="s">
        <v>25</v>
      </c>
    </row>
    <row r="36" s="1" customFormat="1" ht="20" customHeight="1" spans="1:5">
      <c r="A36" s="33" t="s">
        <v>4</v>
      </c>
      <c r="B36" s="34" t="s">
        <v>8</v>
      </c>
      <c r="C36" s="34" t="s">
        <v>26</v>
      </c>
      <c r="D36" s="34" t="s">
        <v>27</v>
      </c>
      <c r="E36" s="35" t="s">
        <v>28</v>
      </c>
    </row>
    <row r="37" s="1" customFormat="1" ht="14.25" spans="1:5">
      <c r="A37" s="36" t="s">
        <v>29</v>
      </c>
      <c r="B37" s="36">
        <v>102362</v>
      </c>
      <c r="C37" s="36">
        <v>102362</v>
      </c>
      <c r="D37" s="36">
        <v>307824</v>
      </c>
      <c r="E37" s="37">
        <v>512548</v>
      </c>
    </row>
    <row r="38" s="1" customFormat="1" ht="14.25" spans="1:5">
      <c r="A38" s="36" t="s">
        <v>30</v>
      </c>
      <c r="B38" s="36">
        <v>110820</v>
      </c>
      <c r="C38" s="36">
        <v>110820</v>
      </c>
      <c r="D38" s="36">
        <v>333306</v>
      </c>
      <c r="E38" s="37">
        <v>554946</v>
      </c>
    </row>
    <row r="39" s="1" customFormat="1" ht="14.25" spans="1:5">
      <c r="A39" s="36" t="s">
        <v>31</v>
      </c>
      <c r="B39" s="36">
        <v>119278</v>
      </c>
      <c r="C39" s="36">
        <v>119278</v>
      </c>
      <c r="D39" s="36">
        <v>358788</v>
      </c>
      <c r="E39" s="37">
        <v>597344</v>
      </c>
    </row>
    <row r="40" s="1" customFormat="1" ht="14.25" spans="1:5">
      <c r="A40" s="38" t="s">
        <v>32</v>
      </c>
      <c r="B40" s="38">
        <v>123000</v>
      </c>
      <c r="C40" s="38">
        <v>123000</v>
      </c>
      <c r="D40" s="39">
        <v>370000</v>
      </c>
      <c r="E40" s="40">
        <v>616000</v>
      </c>
    </row>
    <row r="41" s="1" customFormat="1" ht="14.25" spans="1:5">
      <c r="A41" s="36" t="s">
        <v>33</v>
      </c>
      <c r="B41" s="36">
        <v>126295</v>
      </c>
      <c r="C41" s="36">
        <v>126295</v>
      </c>
      <c r="D41" s="36">
        <v>379885</v>
      </c>
      <c r="E41" s="37">
        <v>632475</v>
      </c>
    </row>
    <row r="42" s="1" customFormat="1" ht="14.25" spans="1:5">
      <c r="A42" s="36" t="s">
        <v>34</v>
      </c>
      <c r="B42" s="36">
        <v>132179</v>
      </c>
      <c r="C42" s="36">
        <v>132179</v>
      </c>
      <c r="D42" s="36">
        <v>397537</v>
      </c>
      <c r="E42" s="37">
        <v>661895</v>
      </c>
    </row>
    <row r="43" s="1" customFormat="1" ht="14.25" spans="1:5">
      <c r="A43" s="36" t="s">
        <v>35</v>
      </c>
      <c r="B43" s="36">
        <v>138063</v>
      </c>
      <c r="C43" s="36">
        <v>138063</v>
      </c>
      <c r="D43" s="36">
        <v>415188</v>
      </c>
      <c r="E43" s="37">
        <v>691314</v>
      </c>
    </row>
    <row r="44" s="1" customFormat="1" ht="14.25" spans="1:5">
      <c r="A44" s="36" t="s">
        <v>36</v>
      </c>
      <c r="B44" s="36">
        <v>143947</v>
      </c>
      <c r="C44" s="36">
        <v>143947</v>
      </c>
      <c r="D44" s="36">
        <v>432840</v>
      </c>
      <c r="E44" s="37">
        <v>720734</v>
      </c>
    </row>
    <row r="45" s="1" customFormat="1" ht="14.25" spans="1:5">
      <c r="A45" s="36" t="s">
        <v>37</v>
      </c>
      <c r="B45" s="36">
        <v>149831</v>
      </c>
      <c r="C45" s="36">
        <v>149831</v>
      </c>
      <c r="D45" s="36">
        <v>450492</v>
      </c>
      <c r="E45" s="37">
        <v>750154</v>
      </c>
    </row>
    <row r="46" s="1" customFormat="1" ht="14.25" spans="1:5">
      <c r="A46" s="36" t="s">
        <v>38</v>
      </c>
      <c r="B46" s="36">
        <v>155715</v>
      </c>
      <c r="C46" s="36">
        <v>155715</v>
      </c>
      <c r="D46" s="36">
        <v>468144</v>
      </c>
      <c r="E46" s="37">
        <v>779574</v>
      </c>
    </row>
    <row r="47" s="1" customFormat="1" ht="14.25" spans="1:5">
      <c r="A47" s="36" t="s">
        <v>39</v>
      </c>
      <c r="B47" s="36">
        <v>161599</v>
      </c>
      <c r="C47" s="36">
        <v>161599</v>
      </c>
      <c r="D47" s="36">
        <v>485796</v>
      </c>
      <c r="E47" s="37">
        <v>808994</v>
      </c>
    </row>
    <row r="48" s="1" customFormat="1" ht="14.25" spans="1:5">
      <c r="A48" s="36" t="s">
        <v>10</v>
      </c>
      <c r="B48" s="36">
        <v>167482</v>
      </c>
      <c r="C48" s="36">
        <v>167482</v>
      </c>
      <c r="D48" s="36">
        <v>503447</v>
      </c>
      <c r="E48" s="37">
        <v>838411</v>
      </c>
    </row>
    <row r="49" s="1" customFormat="1" ht="14.25" spans="1:5">
      <c r="A49" s="36" t="s">
        <v>40</v>
      </c>
      <c r="B49" s="41">
        <v>226321</v>
      </c>
      <c r="C49" s="41">
        <v>226321</v>
      </c>
      <c r="D49" s="41">
        <v>679965</v>
      </c>
      <c r="E49" s="37">
        <f>B49*2+D49</f>
        <v>1132607</v>
      </c>
    </row>
    <row r="50" s="1" customFormat="1" ht="14.25" spans="1:5">
      <c r="A50" s="36" t="s">
        <v>41</v>
      </c>
      <c r="B50" s="36">
        <v>285161</v>
      </c>
      <c r="C50" s="36">
        <v>285161</v>
      </c>
      <c r="D50" s="36">
        <v>856482</v>
      </c>
      <c r="E50" s="37">
        <v>1426804</v>
      </c>
    </row>
    <row r="51" s="1" customFormat="1" ht="14.25" spans="1:5">
      <c r="A51" s="38" t="s">
        <v>11</v>
      </c>
      <c r="B51" s="38">
        <v>344000</v>
      </c>
      <c r="C51" s="38">
        <v>344000</v>
      </c>
      <c r="D51" s="39">
        <v>1033000</v>
      </c>
      <c r="E51" s="40">
        <v>1721000</v>
      </c>
    </row>
    <row r="52" s="1" customFormat="1" ht="14.25" spans="1:5">
      <c r="A52" s="36" t="s">
        <v>42</v>
      </c>
      <c r="B52" s="36">
        <v>375600</v>
      </c>
      <c r="C52" s="36">
        <v>375600</v>
      </c>
      <c r="D52" s="36">
        <v>1128000</v>
      </c>
      <c r="E52" s="37">
        <v>1879200</v>
      </c>
    </row>
    <row r="53" s="1" customFormat="1" ht="14.25" spans="1:5">
      <c r="A53" s="36" t="s">
        <v>43</v>
      </c>
      <c r="B53" s="36">
        <v>407200</v>
      </c>
      <c r="C53" s="36">
        <v>407200</v>
      </c>
      <c r="D53" s="36">
        <v>1223000</v>
      </c>
      <c r="E53" s="37">
        <f>D53+C53+B53</f>
        <v>2037400</v>
      </c>
    </row>
    <row r="54" s="1" customFormat="1" ht="14.25" spans="1:5">
      <c r="A54" s="36" t="s">
        <v>44</v>
      </c>
      <c r="B54" s="36">
        <v>438800</v>
      </c>
      <c r="C54" s="36">
        <v>438800</v>
      </c>
      <c r="D54" s="36">
        <v>1318000</v>
      </c>
      <c r="E54" s="37">
        <v>2195600</v>
      </c>
    </row>
    <row r="55" s="1" customFormat="1" ht="14.25" spans="1:5">
      <c r="A55" s="36" t="s">
        <v>45</v>
      </c>
      <c r="B55" s="36">
        <v>502000</v>
      </c>
      <c r="C55" s="36">
        <v>502000</v>
      </c>
      <c r="D55" s="36">
        <v>1508000</v>
      </c>
      <c r="E55" s="37">
        <v>2512000</v>
      </c>
    </row>
    <row r="56" s="1" customFormat="1" ht="14.25" spans="1:5">
      <c r="A56" s="36" t="s">
        <v>46</v>
      </c>
      <c r="B56" s="36">
        <v>565200</v>
      </c>
      <c r="C56" s="36">
        <v>565200</v>
      </c>
      <c r="D56" s="36">
        <v>1698000</v>
      </c>
      <c r="E56" s="42">
        <f t="shared" ref="E56:E60" si="0">B56*2+D56</f>
        <v>2828400</v>
      </c>
    </row>
    <row r="57" s="1" customFormat="1" ht="14.25" spans="1:5">
      <c r="A57" s="36" t="s">
        <v>47</v>
      </c>
      <c r="B57" s="36">
        <v>628400</v>
      </c>
      <c r="C57" s="36">
        <v>628400</v>
      </c>
      <c r="D57" s="36">
        <v>1888000</v>
      </c>
      <c r="E57" s="42">
        <f t="shared" si="0"/>
        <v>3144800</v>
      </c>
    </row>
    <row r="58" s="1" customFormat="1" ht="14.25" spans="1:5">
      <c r="A58" s="36" t="s">
        <v>48</v>
      </c>
      <c r="B58" s="36">
        <v>691600</v>
      </c>
      <c r="C58" s="36">
        <v>691600</v>
      </c>
      <c r="D58" s="36">
        <v>2078000</v>
      </c>
      <c r="E58" s="42">
        <f t="shared" si="0"/>
        <v>3461200</v>
      </c>
    </row>
    <row r="59" s="1" customFormat="1" ht="14.25" spans="1:5">
      <c r="A59" s="36" t="s">
        <v>49</v>
      </c>
      <c r="B59" s="36">
        <v>754800</v>
      </c>
      <c r="C59" s="36">
        <v>754800</v>
      </c>
      <c r="D59" s="36">
        <v>2268000</v>
      </c>
      <c r="E59" s="42">
        <f t="shared" si="0"/>
        <v>3777600</v>
      </c>
    </row>
    <row r="60" s="1" customFormat="1" ht="14.25" spans="1:5">
      <c r="A60" s="38" t="s">
        <v>12</v>
      </c>
      <c r="B60" s="38">
        <v>818000</v>
      </c>
      <c r="C60" s="38">
        <v>818000</v>
      </c>
      <c r="D60" s="38">
        <v>2458000</v>
      </c>
      <c r="E60" s="43">
        <f t="shared" si="0"/>
        <v>4094000</v>
      </c>
    </row>
    <row r="61" s="1" customFormat="1" ht="14.25" spans="1:5">
      <c r="A61" s="36" t="s">
        <v>50</v>
      </c>
      <c r="B61" s="36">
        <v>1309333</v>
      </c>
      <c r="C61" s="36">
        <v>1309333</v>
      </c>
      <c r="D61" s="36">
        <v>3933333</v>
      </c>
      <c r="E61" s="42">
        <v>6552000</v>
      </c>
    </row>
    <row r="62" s="1" customFormat="1" ht="14.25" spans="1:5">
      <c r="A62" s="36" t="s">
        <v>51</v>
      </c>
      <c r="B62" s="36">
        <v>1800667</v>
      </c>
      <c r="C62" s="36">
        <v>1800667</v>
      </c>
      <c r="D62" s="36">
        <v>5408667</v>
      </c>
      <c r="E62" s="42">
        <v>9010000</v>
      </c>
    </row>
    <row r="63" s="1" customFormat="1" ht="14.25" spans="1:5">
      <c r="A63" s="36" t="s">
        <v>13</v>
      </c>
      <c r="B63" s="36">
        <v>2292000</v>
      </c>
      <c r="C63" s="36">
        <v>2292000</v>
      </c>
      <c r="D63" s="36">
        <v>6884000</v>
      </c>
      <c r="E63" s="42">
        <f t="shared" ref="E63:E69" si="1">B63*2+D63</f>
        <v>11468000</v>
      </c>
    </row>
    <row r="64" s="1" customFormat="1" ht="14.25" spans="1:5">
      <c r="A64" s="38" t="s">
        <v>52</v>
      </c>
      <c r="B64" s="38">
        <v>2559500</v>
      </c>
      <c r="C64" s="38">
        <v>2559500</v>
      </c>
      <c r="D64" s="38">
        <v>7687000</v>
      </c>
      <c r="E64" s="43">
        <f t="shared" si="1"/>
        <v>12806000</v>
      </c>
    </row>
    <row r="65" s="1" customFormat="1" ht="14.25" spans="1:5">
      <c r="A65" s="36" t="s">
        <v>53</v>
      </c>
      <c r="B65" s="36">
        <v>2827000</v>
      </c>
      <c r="C65" s="36">
        <v>2827000</v>
      </c>
      <c r="D65" s="36">
        <v>8490000</v>
      </c>
      <c r="E65" s="42">
        <f t="shared" si="1"/>
        <v>14144000</v>
      </c>
    </row>
    <row r="66" s="1" customFormat="1" ht="14.25" spans="1:5">
      <c r="A66" s="36" t="s">
        <v>54</v>
      </c>
      <c r="B66" s="36">
        <v>3094500</v>
      </c>
      <c r="C66" s="36">
        <v>3094500</v>
      </c>
      <c r="D66" s="36">
        <v>9293000</v>
      </c>
      <c r="E66" s="42">
        <f t="shared" si="1"/>
        <v>15482000</v>
      </c>
    </row>
    <row r="67" s="1" customFormat="1" ht="14.25" spans="1:5">
      <c r="A67" s="36" t="s">
        <v>55</v>
      </c>
      <c r="B67" s="36">
        <v>3362000</v>
      </c>
      <c r="C67" s="36">
        <v>3362000</v>
      </c>
      <c r="D67" s="36">
        <v>10096000</v>
      </c>
      <c r="E67" s="42">
        <f t="shared" si="1"/>
        <v>16820000</v>
      </c>
    </row>
    <row r="68" s="1" customFormat="1" ht="14.25" spans="1:5">
      <c r="A68" s="36" t="s">
        <v>56</v>
      </c>
      <c r="B68" s="36">
        <v>3629500</v>
      </c>
      <c r="C68" s="36">
        <v>3629500</v>
      </c>
      <c r="D68" s="36">
        <v>10899000</v>
      </c>
      <c r="E68" s="42">
        <f t="shared" si="1"/>
        <v>18158000</v>
      </c>
    </row>
    <row r="69" s="1" customFormat="1" ht="14.25" spans="1:5">
      <c r="A69" s="36" t="s">
        <v>14</v>
      </c>
      <c r="B69" s="36">
        <v>3897000</v>
      </c>
      <c r="C69" s="36">
        <v>3897000</v>
      </c>
      <c r="D69" s="36">
        <v>11702000</v>
      </c>
      <c r="E69" s="42">
        <f t="shared" si="1"/>
        <v>19496000</v>
      </c>
    </row>
  </sheetData>
  <mergeCells count="13">
    <mergeCell ref="A1:I1"/>
    <mergeCell ref="A14:G14"/>
    <mergeCell ref="B17:D17"/>
    <mergeCell ref="B26:J26"/>
    <mergeCell ref="B28:D28"/>
    <mergeCell ref="E28:G28"/>
    <mergeCell ref="H28:J28"/>
    <mergeCell ref="A6:A8"/>
    <mergeCell ref="A17:A18"/>
    <mergeCell ref="A26:A28"/>
    <mergeCell ref="B6:C7"/>
    <mergeCell ref="D6:E7"/>
    <mergeCell ref="F6:G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caill</dc:creator>
  <cp:lastModifiedBy>蔡丽丽</cp:lastModifiedBy>
  <dcterms:created xsi:type="dcterms:W3CDTF">2026-06-12T03:34:59Z</dcterms:created>
  <dcterms:modified xsi:type="dcterms:W3CDTF">2026-06-12T03:35:43Z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A180FDE6F3E04BBEAAA1AA94F25A41E8_11</vt:lpwstr>
  </property>
  <property fmtid="{D5CDD505-2E9C-101B-9397-08002B2CF9AE}" pid="3" name="KSOProductBuildVer">
    <vt:lpwstr>2052-12.1.0.19302</vt:lpwstr>
  </property>
</Properties>
</file>