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990"/>
  </bookViews>
  <sheets>
    <sheet name="【2024年】前向收入合同审签表" sheetId="2" r:id="rId1"/>
    <sheet name="【2024年】集团产品与集团产品收入项配置表" sheetId="3" r:id="rId2"/>
    <sheet name="税率配置表&amp;利润中心" sheetId="4" r:id="rId3"/>
  </sheets>
  <definedNames>
    <definedName name="_xlnm._FilterDatabase" localSheetId="1" hidden="1">【2024年】集团产品与集团产品收入项配置表!$A$1:$X$599</definedName>
    <definedName name="_xlnm._FilterDatabase" localSheetId="2" hidden="1">'税率配置表&amp;利润中心'!$A$1:$D$475</definedName>
  </definedNames>
  <calcPr calcId="144525"/>
</workbook>
</file>

<file path=xl/sharedStrings.xml><?xml version="1.0" encoding="utf-8"?>
<sst xmlns="http://schemas.openxmlformats.org/spreadsheetml/2006/main" count="5461" uniqueCount="1427">
  <si>
    <t>前向收入合同审签表</t>
  </si>
  <si>
    <t>收入确认计划</t>
  </si>
  <si>
    <t>必填</t>
  </si>
  <si>
    <t>选择填列</t>
  </si>
  <si>
    <t>必选</t>
  </si>
  <si>
    <r>
      <rPr>
        <sz val="10"/>
        <color theme="1"/>
        <rFont val="微软雅黑"/>
        <charset val="134"/>
      </rPr>
      <t xml:space="preserve">自动带出
</t>
    </r>
    <r>
      <rPr>
        <sz val="10"/>
        <color rgb="FFFF0000"/>
        <rFont val="微软雅黑"/>
        <charset val="134"/>
      </rPr>
      <t>可修改</t>
    </r>
  </si>
  <si>
    <t>自动带出</t>
  </si>
  <si>
    <r>
      <rPr>
        <sz val="10"/>
        <color theme="1"/>
        <rFont val="微软雅黑"/>
        <charset val="134"/>
      </rPr>
      <t>自动带出</t>
    </r>
    <r>
      <rPr>
        <sz val="10"/>
        <color rgb="FFC0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可修改</t>
    </r>
  </si>
  <si>
    <t>公式自动算出</t>
  </si>
  <si>
    <r>
      <rPr>
        <b/>
        <sz val="10"/>
        <color rgb="FFC00000"/>
        <rFont val="等线"/>
        <charset val="134"/>
        <scheme val="minor"/>
      </rPr>
      <t xml:space="preserve">      </t>
    </r>
    <r>
      <rPr>
        <b/>
        <sz val="10"/>
        <color rgb="FFFF0000"/>
        <rFont val="微软雅黑"/>
        <charset val="134"/>
      </rPr>
      <t>非周期性</t>
    </r>
    <r>
      <rPr>
        <b/>
        <sz val="10"/>
        <color indexed="60"/>
        <rFont val="宋体"/>
        <charset val="134"/>
      </rPr>
      <t xml:space="preserve">
</t>
    </r>
    <r>
      <rPr>
        <b/>
        <sz val="10"/>
        <color rgb="FFFF0000"/>
        <rFont val="微软雅黑"/>
        <charset val="134"/>
      </rPr>
      <t>序号</t>
    </r>
  </si>
  <si>
    <t>预计确认日期
YYYY-MM-DD</t>
  </si>
  <si>
    <r>
      <rPr>
        <b/>
        <sz val="10"/>
        <color indexed="8"/>
        <rFont val="微软雅黑"/>
        <charset val="134"/>
      </rPr>
      <t xml:space="preserve">业务模式
</t>
    </r>
    <r>
      <rPr>
        <b/>
        <sz val="10"/>
        <color rgb="FFFF0000"/>
        <rFont val="微软雅黑"/>
        <charset val="134"/>
      </rPr>
      <t>ICT净额列收才填</t>
    </r>
  </si>
  <si>
    <t>集团产品名称</t>
  </si>
  <si>
    <t>集团产品收入项</t>
  </si>
  <si>
    <r>
      <rPr>
        <b/>
        <sz val="10"/>
        <color indexed="8"/>
        <rFont val="微软雅黑"/>
        <charset val="134"/>
      </rPr>
      <t>速率/带宽
填写提示
（在G列）</t>
    </r>
    <r>
      <rPr>
        <b/>
        <sz val="10"/>
        <color rgb="FFFF0000"/>
        <rFont val="微软雅黑"/>
        <charset val="134"/>
      </rPr>
      <t>→</t>
    </r>
  </si>
  <si>
    <r>
      <rPr>
        <b/>
        <sz val="10"/>
        <color indexed="8"/>
        <rFont val="微软雅黑"/>
        <charset val="134"/>
      </rPr>
      <t xml:space="preserve">速率/带宽
</t>
    </r>
    <r>
      <rPr>
        <b/>
        <sz val="10"/>
        <color rgb="FFFF0000"/>
        <rFont val="微软雅黑"/>
        <charset val="134"/>
      </rPr>
      <t>收入项为电路及专线必填</t>
    </r>
  </si>
  <si>
    <r>
      <rPr>
        <b/>
        <sz val="10"/>
        <color indexed="8"/>
        <rFont val="微软雅黑"/>
        <charset val="134"/>
      </rPr>
      <t>折扣率
填写提示
（在I列）</t>
    </r>
    <r>
      <rPr>
        <b/>
        <sz val="10"/>
        <color rgb="FFFF0000"/>
        <rFont val="微软雅黑"/>
        <charset val="134"/>
      </rPr>
      <t>→</t>
    </r>
  </si>
  <si>
    <r>
      <rPr>
        <b/>
        <sz val="10"/>
        <color indexed="8"/>
        <rFont val="微软雅黑"/>
        <charset val="134"/>
      </rPr>
      <t xml:space="preserve">折扣率
</t>
    </r>
    <r>
      <rPr>
        <b/>
        <sz val="10"/>
        <color rgb="FFFF0000"/>
        <rFont val="微软雅黑"/>
        <charset val="134"/>
      </rPr>
      <t>物联网卡必填</t>
    </r>
  </si>
  <si>
    <t>税率</t>
  </si>
  <si>
    <t>计划确认总金额
(含税)</t>
  </si>
  <si>
    <r>
      <rPr>
        <b/>
        <sz val="10"/>
        <color indexed="8"/>
        <rFont val="微软雅黑"/>
        <charset val="134"/>
      </rPr>
      <t>跨省省份名称</t>
    </r>
    <r>
      <rPr>
        <b/>
        <sz val="10"/>
        <color indexed="6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跨省电路业务必填</t>
    </r>
    <r>
      <rPr>
        <b/>
        <sz val="10"/>
        <color indexed="10"/>
        <rFont val="微软雅黑"/>
        <charset val="134"/>
      </rPr>
      <t xml:space="preserve">
</t>
    </r>
    <r>
      <rPr>
        <b/>
        <sz val="10"/>
        <color indexed="62"/>
        <rFont val="微软雅黑"/>
        <charset val="134"/>
      </rPr>
      <t>按分摊金额分开填列</t>
    </r>
  </si>
  <si>
    <t>是否
网元开通</t>
  </si>
  <si>
    <t>是否CRM
确认收入</t>
  </si>
  <si>
    <r>
      <rPr>
        <b/>
        <sz val="10"/>
        <color rgb="FFC00000"/>
        <rFont val="等线"/>
        <charset val="134"/>
        <scheme val="minor"/>
      </rPr>
      <t xml:space="preserve">   </t>
    </r>
    <r>
      <rPr>
        <b/>
        <sz val="10"/>
        <color rgb="FFFF0000"/>
        <rFont val="微软雅黑"/>
        <charset val="134"/>
      </rPr>
      <t>周期性</t>
    </r>
    <r>
      <rPr>
        <b/>
        <sz val="10"/>
        <color indexed="60"/>
        <rFont val="宋体"/>
        <charset val="134"/>
      </rPr>
      <t xml:space="preserve">
</t>
    </r>
    <r>
      <rPr>
        <b/>
        <sz val="10"/>
        <color rgb="FFFF0000"/>
        <rFont val="微软雅黑"/>
        <charset val="134"/>
      </rPr>
      <t>序号</t>
    </r>
  </si>
  <si>
    <t>起始日期
YYYY-MM-DD</t>
  </si>
  <si>
    <r>
      <rPr>
        <b/>
        <sz val="10"/>
        <color indexed="8"/>
        <rFont val="微软雅黑"/>
        <charset val="134"/>
      </rPr>
      <t>速率/带宽
填写提示
(在T列）</t>
    </r>
    <r>
      <rPr>
        <b/>
        <sz val="10"/>
        <color rgb="FFFF0000"/>
        <rFont val="宋体"/>
        <charset val="134"/>
      </rPr>
      <t>→</t>
    </r>
  </si>
  <si>
    <r>
      <rPr>
        <b/>
        <sz val="10"/>
        <color indexed="8"/>
        <rFont val="微软雅黑"/>
        <charset val="134"/>
      </rPr>
      <t>折扣率
填写提示
(在V列）</t>
    </r>
    <r>
      <rPr>
        <b/>
        <sz val="10"/>
        <color rgb="FFFF0000"/>
        <rFont val="宋体"/>
        <charset val="134"/>
      </rPr>
      <t>→</t>
    </r>
  </si>
  <si>
    <t>收入确认
总时长
（月）</t>
  </si>
  <si>
    <t>每月单价</t>
  </si>
  <si>
    <t>产品数量</t>
  </si>
  <si>
    <t>确认总金额
(含税)</t>
  </si>
  <si>
    <t>合 计</t>
  </si>
  <si>
    <t>是否有
履约保证金</t>
  </si>
  <si>
    <t>是否有
维保要求</t>
  </si>
  <si>
    <t>是否有
审计条款</t>
  </si>
  <si>
    <r>
      <rPr>
        <b/>
        <sz val="10"/>
        <color rgb="FFFF0000"/>
        <rFont val="微软雅黑"/>
        <charset val="134"/>
      </rPr>
      <t>发票种类</t>
    </r>
    <r>
      <rPr>
        <b/>
        <u/>
        <sz val="10"/>
        <color rgb="FFFF000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（必选）</t>
    </r>
  </si>
  <si>
    <t>增值税专用发票</t>
  </si>
  <si>
    <t>该合同实际
利润归属单位
（必选）</t>
  </si>
  <si>
    <t>政企事业群</t>
  </si>
  <si>
    <t>收款计划</t>
  </si>
  <si>
    <t>按比例收款
时必填</t>
  </si>
  <si>
    <r>
      <rPr>
        <b/>
        <sz val="10"/>
        <color rgb="FFC00000"/>
        <rFont val="等线"/>
        <charset val="134"/>
        <scheme val="minor"/>
      </rPr>
      <t xml:space="preserve">     </t>
    </r>
    <r>
      <rPr>
        <b/>
        <sz val="10"/>
        <color rgb="FFFF0000"/>
        <rFont val="等线"/>
        <charset val="134"/>
        <scheme val="minor"/>
      </rPr>
      <t xml:space="preserve"> </t>
    </r>
    <r>
      <rPr>
        <b/>
        <sz val="10"/>
        <color rgb="FFFF0000"/>
        <rFont val="微软雅黑"/>
        <charset val="134"/>
      </rPr>
      <t>非周期性</t>
    </r>
    <r>
      <rPr>
        <b/>
        <sz val="10"/>
        <color indexed="60"/>
        <rFont val="宋体"/>
        <charset val="134"/>
      </rPr>
      <t xml:space="preserve">
</t>
    </r>
    <r>
      <rPr>
        <b/>
        <sz val="10"/>
        <color rgb="FFFF0000"/>
        <rFont val="微软雅黑"/>
        <charset val="134"/>
      </rPr>
      <t>序号</t>
    </r>
  </si>
  <si>
    <t>预计收款日期
YYYY-MM-DD</t>
  </si>
  <si>
    <t>非周期
收款方式</t>
  </si>
  <si>
    <t>第N次</t>
  </si>
  <si>
    <t>履行要求</t>
  </si>
  <si>
    <t>约定收款
比例</t>
  </si>
  <si>
    <t>约定收款
金额</t>
  </si>
  <si>
    <t>收款
触发系统</t>
  </si>
  <si>
    <t>预计收款
起始日期
YYYY-MM-DD</t>
  </si>
  <si>
    <t>收款频率
（周期方式）</t>
  </si>
  <si>
    <t>期数</t>
  </si>
  <si>
    <t>每期金额</t>
  </si>
  <si>
    <t>金额合计</t>
  </si>
  <si>
    <t>填表人：
（必填）</t>
  </si>
  <si>
    <t>王照龙</t>
  </si>
  <si>
    <t>联系方式：
（必填）</t>
  </si>
  <si>
    <t>02152927531</t>
  </si>
  <si>
    <t>项目立项人:
（必填）</t>
  </si>
  <si>
    <t>填表说明：</t>
  </si>
  <si>
    <t>1、若涉及多项产品收入项的请分行填列，小计金额需与合同金额一致。</t>
  </si>
  <si>
    <t>2、若合同履约信息即有非周期性也有周期性，则在相应表格中填列。</t>
  </si>
  <si>
    <t>3、若该合同有跨利润中心的情况，请填列“该合同实际利润归属单位”信息，不然合同解析利润中心默认为合同发起单位。</t>
  </si>
  <si>
    <t>4、若非周期收款方式为按金额收款的，表格中约定收款比例可不填列。</t>
  </si>
  <si>
    <t>5、“是否有履约保证金”、“是否有维保要求”及“是否有审计条款”默认为“否”，若该合同涉及此3项有实际发生的请改为“是”并附相应情况说明。</t>
  </si>
  <si>
    <t>6、由于目前部分产品较个性化，不具备标准化资费的条件，无法走CRM系统开账，而通过聚焦系统开账会虚增应收账款，因此选“非CRM确认收入”的合同，其实际履约信息若为周期性的，一律解析为非周期性。</t>
  </si>
  <si>
    <t>7、集团要求按月确认收入的为收入周期性，除此之外均为非周期性收入；而收款方式的频率若为按月、按季、按半年、按年则均为周期性收款。</t>
  </si>
  <si>
    <t>8、集团要求涉及电路及专线类收入项的话，速率及带宽为必填，涉及物联网收入项的话，折扣率为必填。</t>
  </si>
  <si>
    <t>9、跨省电路业务新增“跨省省份”列，请按分摊金额分开填列。</t>
  </si>
  <si>
    <t>产品大类编码（修订）</t>
  </si>
  <si>
    <t>产品大类（修订）</t>
  </si>
  <si>
    <t>产品编码</t>
  </si>
  <si>
    <t>产品名称</t>
  </si>
  <si>
    <t>是否ICT产品</t>
  </si>
  <si>
    <t>单位</t>
  </si>
  <si>
    <t>注释</t>
  </si>
  <si>
    <t>产品类型</t>
  </si>
  <si>
    <t>产品类别</t>
  </si>
  <si>
    <t>平台类型编码</t>
  </si>
  <si>
    <t>平台类型
名称</t>
  </si>
  <si>
    <t>默认带出的产品收入项2024</t>
  </si>
  <si>
    <t>默认带出的产品收入项名称2024</t>
  </si>
  <si>
    <t>可选产品收入项范围编码2024</t>
  </si>
  <si>
    <t>可选产品收入项范围2024</t>
  </si>
  <si>
    <t>是否网元</t>
  </si>
  <si>
    <t>是否触发CRM</t>
  </si>
  <si>
    <t>速率/带宽
填写提示</t>
  </si>
  <si>
    <t>折扣率
填写提示</t>
  </si>
  <si>
    <t>删除状态</t>
  </si>
  <si>
    <t>V1.1-2024年更新情况</t>
  </si>
  <si>
    <t>JTSJCPDL201908</t>
  </si>
  <si>
    <t>电路业务</t>
  </si>
  <si>
    <t>JTSJCP02041</t>
  </si>
  <si>
    <t>IP虚拟专网（MPLS VPN）</t>
  </si>
  <si>
    <t>否</t>
  </si>
  <si>
    <t>条</t>
  </si>
  <si>
    <t>线路数</t>
  </si>
  <si>
    <t>外延业务</t>
  </si>
  <si>
    <t>电路</t>
  </si>
  <si>
    <t>专线接入成本</t>
  </si>
  <si>
    <t>产业数字化-行业网络服务-普通组网专线-IP虚拟专网-大陆境内</t>
  </si>
  <si>
    <t>1563;1565;1566</t>
  </si>
  <si>
    <t>产业数字化-行业网络服务-组网专线-普通组网专线-IP虚拟专网-大陆境内;产业数字化-行业网络服务-组网专线-普通组网专线-IP虚拟专网-国际及港澳台-境内客户;产业数字化-行业网络服务-组网专线-普通组网专线-IP虚拟专网-国际及港澳台-境外客户</t>
  </si>
  <si>
    <t>是</t>
  </si>
  <si>
    <t>需填写速率/带宽</t>
  </si>
  <si>
    <t>无需填写折扣率</t>
  </si>
  <si>
    <t>JTSJCPDL201909</t>
  </si>
  <si>
    <t>专线业务</t>
  </si>
  <si>
    <t>JTSJCP02042</t>
  </si>
  <si>
    <t>互联网专线-500M及以上</t>
  </si>
  <si>
    <t>专线</t>
  </si>
  <si>
    <t>固网及智慧家庭服务-互联网宽带接入-互联网专线-普通国内互联网专线收入-FTTH/O</t>
  </si>
  <si>
    <t>1306;1307;1320;1321;1322;1323;1326;1329;1330;1331;2557</t>
  </si>
  <si>
    <t>固网及智慧家庭服务-互联网宽带接入-普通宽带-装移机收入;固网及智慧家庭服务-互联网宽带接入-普通宽带-业务调测费;固网及智慧家庭服务-互联网宽带接入-互联网专线-普通国内互联网专线收入-FTTH/O;固网及智慧家庭服务-互联网宽带接入-互联网专线-普通国内互联网专线收入-ADSL;固网及智慧家庭服务-互联网宽带接入-互联网专线-普通国内互联网专线收入-LAN;固网及智慧家庭服务-互联网宽带接入-互联网专线-普通国内互联网专线收入-光纤直驱;固网及智慧家庭服务-行业类固网产品-互联网专线安全服务（云堤）-其他;固网及智慧家庭服务-行业类固网产品-互联网专线安全服务（云堤）-DDoS攻击防护服务（互联网）;固网及智慧家庭服务-互联网宽带接入-互联网专线-商务专线;固网及智慧家庭服务-互联网宽带接入-互联网专线-国际精品专线;固网及智慧家庭服务-互联网宽带接入-互联网专线-其他互联网宽带接入业务-其他</t>
  </si>
  <si>
    <t>可选1332删除，映射2557</t>
  </si>
  <si>
    <t>JTSJCP02108</t>
  </si>
  <si>
    <t>互联网专线-500M以下</t>
  </si>
  <si>
    <t>JTSJCP02089</t>
  </si>
  <si>
    <t>互联网国际精品专线-500M及以上</t>
  </si>
  <si>
    <t>固网及智慧家庭服务-互联网宽带接入-互联网专线-国际精品专线</t>
  </si>
  <si>
    <t>JTSJCP02109</t>
  </si>
  <si>
    <t>互联网国际精品专线-500M以下</t>
  </si>
  <si>
    <t>JTSJCP02048</t>
  </si>
  <si>
    <t>数字电路-省际长途</t>
  </si>
  <si>
    <t>省际长途SDH电路</t>
  </si>
  <si>
    <t>产业数字化-行业网络服务-普通组网专线-传输专线（SDH/MSTP/波分/ROADM）-大陆境内-长途</t>
  </si>
  <si>
    <t>JTSJCP02102</t>
  </si>
  <si>
    <t>数字电路-省内长途</t>
  </si>
  <si>
    <t>省内长途SDH电路</t>
  </si>
  <si>
    <t>JTSJCP02103</t>
  </si>
  <si>
    <t>数字电路-本地电路</t>
  </si>
  <si>
    <t>本地SDH电路</t>
  </si>
  <si>
    <t>产业数字化-行业网络服务-普通组网专线-传输专线（SDH/MSTP/波分/ROADM）-大陆境内-本地</t>
  </si>
  <si>
    <t>JTSJCP02049</t>
  </si>
  <si>
    <t>MSTP-省际长途</t>
  </si>
  <si>
    <t>JTSJCP02104</t>
  </si>
  <si>
    <t>MSTP-省内长途</t>
  </si>
  <si>
    <t>JTSJCP02105</t>
  </si>
  <si>
    <t>MSTP-本地电路</t>
  </si>
  <si>
    <t>JTSJCP02106</t>
  </si>
  <si>
    <t>大带宽传输专线-省内长途</t>
  </si>
  <si>
    <t>省内长途WDM电路</t>
  </si>
  <si>
    <t>JTSJCP02107</t>
  </si>
  <si>
    <t>大带宽传输专线-本地电路</t>
  </si>
  <si>
    <t>本地WDM电路</t>
  </si>
  <si>
    <t>JTSJCPDL201910</t>
  </si>
  <si>
    <t>卫星业务</t>
  </si>
  <si>
    <t>JTSJCP01051</t>
  </si>
  <si>
    <t>卫星移动</t>
  </si>
  <si>
    <t>户</t>
  </si>
  <si>
    <t>拉动移动入网用户数</t>
  </si>
  <si>
    <t>移动通信服务-移动语音-语音收入</t>
  </si>
  <si>
    <t>无需填写速率/带宽</t>
  </si>
  <si>
    <t>JTSJCPDL201907</t>
  </si>
  <si>
    <t>物联网业务</t>
  </si>
  <si>
    <t>JTSJCP04001</t>
  </si>
  <si>
    <t>物联网语音</t>
  </si>
  <si>
    <t>物联网</t>
  </si>
  <si>
    <t>产业数字化-行业网络服务-物联网-连接服务-语音</t>
  </si>
  <si>
    <t>JTSJCP04002</t>
  </si>
  <si>
    <t>物联网流量</t>
  </si>
  <si>
    <t>产业数字化-行业网络服务-物联网-连接服务-流量-定向流量</t>
  </si>
  <si>
    <t>需填写折扣率</t>
  </si>
  <si>
    <t>JTSJCP04003</t>
  </si>
  <si>
    <t>物联网短信</t>
  </si>
  <si>
    <t>产业数字化-行业网络服务-物联网-连接服务-短信</t>
  </si>
  <si>
    <t>JTSJCP04004</t>
  </si>
  <si>
    <t>物联网基础能力增值</t>
  </si>
  <si>
    <t>产业数字化-行业网络服务-物联网-连接服务-增值</t>
  </si>
  <si>
    <t>JTSJCP04005</t>
  </si>
  <si>
    <t>物联网应用</t>
  </si>
  <si>
    <t>产业数字化-行业网络服务-物联网-应用服务-行业应用-其他</t>
  </si>
  <si>
    <t>删除，父级指标，映射2763</t>
  </si>
  <si>
    <t>JTSJCP02090</t>
  </si>
  <si>
    <t>卫星国内专线</t>
  </si>
  <si>
    <t>固网及智慧家庭服务-互联网宽带接入-卫星宽带-卫星宽带服务</t>
  </si>
  <si>
    <t>1301;1302;</t>
  </si>
  <si>
    <t>固网及智慧家庭服务-互联网宽带接入-卫星宽带-卫星宽带服务;固网及智慧家庭服务-互联网宽带接入-卫星宽带-卫星资源服务</t>
  </si>
  <si>
    <t>JTSJCPDL201914</t>
  </si>
  <si>
    <t>其它业务</t>
  </si>
  <si>
    <t>JTSJCP03007</t>
  </si>
  <si>
    <t>房屋出租</t>
  </si>
  <si>
    <t>-</t>
  </si>
  <si>
    <t>房屋租赁</t>
  </si>
  <si>
    <t>9%;5%</t>
  </si>
  <si>
    <t>其他-固网其他-出租房产场地收入</t>
  </si>
  <si>
    <t>JTSJCPDL201911</t>
  </si>
  <si>
    <t>基础移动业务</t>
  </si>
  <si>
    <t>JTSJCP01001</t>
  </si>
  <si>
    <t>移动单机业务</t>
  </si>
  <si>
    <t>040229</t>
  </si>
  <si>
    <t>移动业务户均成本</t>
  </si>
  <si>
    <t>JTSJCPDL201912</t>
  </si>
  <si>
    <t>增值业务</t>
  </si>
  <si>
    <t>JTSJCP01002</t>
  </si>
  <si>
    <t>总机服务</t>
  </si>
  <si>
    <t>开通功能的用户数</t>
  </si>
  <si>
    <t>固网及智慧家庭服务-固定电话-固话信息产品及增值服务-企业总机-收入（大收）</t>
  </si>
  <si>
    <t>删除，映射1289</t>
  </si>
  <si>
    <t>JTSJCPDL201905</t>
  </si>
  <si>
    <t>ICT-行业应用</t>
  </si>
  <si>
    <t>JTSJCP01003</t>
  </si>
  <si>
    <t>加密通信</t>
  </si>
  <si>
    <t>行业应用</t>
  </si>
  <si>
    <t>ICT</t>
  </si>
  <si>
    <t>产业数字化-平台（大平台）-行业平台及应用-行业信息化应用-加密通信（净收）</t>
  </si>
  <si>
    <t>JTSJCP01004</t>
  </si>
  <si>
    <t>销售管家</t>
  </si>
  <si>
    <t>040222</t>
  </si>
  <si>
    <t>行业应用类平台(销售管家)</t>
  </si>
  <si>
    <t>产业数字化-平台（大平台）-行业平台及应用-行业平台-工业互联网平台应用</t>
  </si>
  <si>
    <t>删除，映射1590</t>
  </si>
  <si>
    <t>JTSJCP01008</t>
  </si>
  <si>
    <t>智慧养老</t>
  </si>
  <si>
    <t>产业数字化-平台（大平台）-行业平台及应用-行业平台-政务行业平台应用</t>
  </si>
  <si>
    <t>删除，映射1577</t>
  </si>
  <si>
    <t>JTSJCP01009</t>
  </si>
  <si>
    <t>物流E通</t>
  </si>
  <si>
    <t>040221</t>
  </si>
  <si>
    <t>行业应用类平台(物流E通)</t>
  </si>
  <si>
    <t>产业数字化-平台（大平台）-行业平台及应用-行业平台-交通物流平台应用</t>
  </si>
  <si>
    <t>删除，映射1591</t>
  </si>
  <si>
    <t>JTSJCP01010</t>
  </si>
  <si>
    <t>车管专家</t>
  </si>
  <si>
    <t>040202</t>
  </si>
  <si>
    <t>行业应用类平台(车管专家)</t>
  </si>
  <si>
    <t>JTSJCP01011</t>
  </si>
  <si>
    <t>车载信息服务</t>
  </si>
  <si>
    <t>JTSJCP01013</t>
  </si>
  <si>
    <t>掌上医疗-医院版</t>
  </si>
  <si>
    <t>040225</t>
  </si>
  <si>
    <t>行业应用类平台(掌上医疗)</t>
  </si>
  <si>
    <t>产业数字化-平台（大平台）-行业平台及应用-行业平台-卫健行业平台应用</t>
  </si>
  <si>
    <t>删除，映射1580</t>
  </si>
  <si>
    <t>JTSJCP01014</t>
  </si>
  <si>
    <t>掌上医疗-基层版</t>
  </si>
  <si>
    <t>JTSJCP01016</t>
  </si>
  <si>
    <t>绿色军营</t>
  </si>
  <si>
    <t>040901</t>
  </si>
  <si>
    <t>综合办公平台</t>
  </si>
  <si>
    <t>产业数字化-平台（大平台）-行业平台及应用-行业信息化应用-安全办公（净收）</t>
  </si>
  <si>
    <t>JTSJCP01017</t>
  </si>
  <si>
    <t>安全办公（军营型）</t>
  </si>
  <si>
    <t>JTSJCP01018</t>
  </si>
  <si>
    <t>外勤助手（定位调度）</t>
  </si>
  <si>
    <t>040217</t>
  </si>
  <si>
    <t>行业应用类平台(外勤助手)</t>
  </si>
  <si>
    <t>产业数字化-平台（大平台）-行业平台及应用-行业信息化应用-外勤助手（净收）</t>
  </si>
  <si>
    <t>JTSJCP01019</t>
  </si>
  <si>
    <t>天翼对讲</t>
  </si>
  <si>
    <t>040401</t>
  </si>
  <si>
    <t>天翼对讲平台</t>
  </si>
  <si>
    <t>产业数字化-平台（大平台）-行业平台及应用-行业信息化应用-天翼对讲（净收）</t>
  </si>
  <si>
    <t>JTSJCP01020</t>
  </si>
  <si>
    <t>天翼对讲可视化调度</t>
  </si>
  <si>
    <t>JTSJCP01021</t>
  </si>
  <si>
    <t>综合办公（移动平移）</t>
  </si>
  <si>
    <t>产业数字化-平台（大平台）-行业平台及应用-行业信息化应用-综合办公（净收）</t>
  </si>
  <si>
    <t>JTSJCP01022</t>
  </si>
  <si>
    <t>NFC（手机钱包）</t>
  </si>
  <si>
    <t>产业数字化-平台（大平台）-行业平台及应用-行业平台-其他</t>
  </si>
  <si>
    <t>删除，映射2848</t>
  </si>
  <si>
    <t>JTSJCP01023</t>
  </si>
  <si>
    <t>在线培训</t>
  </si>
  <si>
    <t>020601</t>
  </si>
  <si>
    <t>在线培训服务平台</t>
  </si>
  <si>
    <t>产业数字化-平台（大平台）-行业平台及应用-行业信息化应用-其他</t>
  </si>
  <si>
    <t>删除，映射2443</t>
  </si>
  <si>
    <t>JTSJCP01024</t>
  </si>
  <si>
    <t>智慧城管</t>
  </si>
  <si>
    <t>JTSJCP01026</t>
  </si>
  <si>
    <t>安全电子政务</t>
  </si>
  <si>
    <t>040203</t>
  </si>
  <si>
    <t>行业应用类平台(电子政务)</t>
  </si>
  <si>
    <t>JTSJCP01028</t>
  </si>
  <si>
    <t>应急指挥</t>
  </si>
  <si>
    <t>JTSJCP01037</t>
  </si>
  <si>
    <t>客运e通</t>
  </si>
  <si>
    <t>040209</t>
  </si>
  <si>
    <t>行业应用类平台(客运E通)</t>
  </si>
  <si>
    <t>JTSJCP01038</t>
  </si>
  <si>
    <t>手机看店</t>
  </si>
  <si>
    <t>040301</t>
  </si>
  <si>
    <t>手机看店平台</t>
  </si>
  <si>
    <t>JTSJCP01039</t>
  </si>
  <si>
    <t>移动展业</t>
  </si>
  <si>
    <t>产业数字化-平台（大平台）-行业平台及应用-行业平台-金融行业平台应用</t>
  </si>
  <si>
    <t>删除，映射1579</t>
  </si>
  <si>
    <t>JTSJCP01041</t>
  </si>
  <si>
    <t>信贷鹰眼</t>
  </si>
  <si>
    <t>JTSJCP01043</t>
  </si>
  <si>
    <t>智能工厂</t>
  </si>
  <si>
    <t>产业数字化-平台（大平台）-行业平台及应用-行业平台-智慧企业平台应用</t>
  </si>
  <si>
    <t>删除，映射1578</t>
  </si>
  <si>
    <t>JTSJCP01046</t>
  </si>
  <si>
    <t>无线宽带VPDN</t>
  </si>
  <si>
    <t>移动通信服务-其他移动通信服务-无线宽带收入</t>
  </si>
  <si>
    <t>删除，映射1197</t>
  </si>
  <si>
    <t>JTSJCP01047</t>
  </si>
  <si>
    <t>M2M</t>
  </si>
  <si>
    <t>040601</t>
  </si>
  <si>
    <t>物联网平台</t>
  </si>
  <si>
    <t>产业数字化-行业网络服务-物联网-物联网集成</t>
  </si>
  <si>
    <t>删除，映射2914</t>
  </si>
  <si>
    <t>JTSJCP01048</t>
  </si>
  <si>
    <t>翼机通+</t>
  </si>
  <si>
    <t>040801</t>
  </si>
  <si>
    <t>翼机通平台</t>
  </si>
  <si>
    <t>产业数字化-平台（大平台）-行业平台及应用-行业信息化应用-翼机通+（净收）</t>
  </si>
  <si>
    <t>JTSJCPDL201906</t>
  </si>
  <si>
    <t>ICT-其它</t>
  </si>
  <si>
    <t>JTSJCP01050</t>
  </si>
  <si>
    <t>移动ICT服务</t>
  </si>
  <si>
    <t>集成服务</t>
  </si>
  <si>
    <t>JTSJCP02001</t>
  </si>
  <si>
    <t>协同通信</t>
  </si>
  <si>
    <t>个</t>
  </si>
  <si>
    <t>账号数</t>
  </si>
  <si>
    <t>040701</t>
  </si>
  <si>
    <t>协同通信平台</t>
  </si>
  <si>
    <t>产业数字化-平台（大平台）-行业平台及应用-行业信息化应用-协同通信（净收）</t>
  </si>
  <si>
    <t>JTSJCP02002</t>
  </si>
  <si>
    <t>手机管家（MDM服务）</t>
  </si>
  <si>
    <t>JTSJCP02003</t>
  </si>
  <si>
    <t>SAP Anywhere</t>
  </si>
  <si>
    <t>JTSJCP02004</t>
  </si>
  <si>
    <t>IBM合作应用</t>
  </si>
  <si>
    <t>JTSJCP02005</t>
  </si>
  <si>
    <t>用友移动应用</t>
  </si>
  <si>
    <t>JTSJCP02006</t>
  </si>
  <si>
    <t>翼校通</t>
  </si>
  <si>
    <t>产业数字化-平台（大平台）-行业平台及应用-行业平台-教育行业平台应用</t>
  </si>
  <si>
    <t>删除，映射1592</t>
  </si>
  <si>
    <t>JTSJCP02007</t>
  </si>
  <si>
    <t>班班通</t>
  </si>
  <si>
    <t>班级数</t>
  </si>
  <si>
    <t>JTSJCPDL201902</t>
  </si>
  <si>
    <t>ICT-云业务</t>
  </si>
  <si>
    <t>JTSJCP02008</t>
  </si>
  <si>
    <t>云录播</t>
  </si>
  <si>
    <t>学校数量</t>
  </si>
  <si>
    <t>产业数字化-行业云产品-私有云-其他</t>
  </si>
  <si>
    <t>删除，映射2912</t>
  </si>
  <si>
    <t>JTSJCP02009</t>
  </si>
  <si>
    <t>掌上大学</t>
  </si>
  <si>
    <t>JTSJCP02011</t>
  </si>
  <si>
    <t>影像云归档存储</t>
  </si>
  <si>
    <t>G</t>
  </si>
  <si>
    <t>存储空间</t>
  </si>
  <si>
    <t>JTSJCP02012</t>
  </si>
  <si>
    <t>影像云移动应用</t>
  </si>
  <si>
    <t>JTSJCP02013</t>
  </si>
  <si>
    <t>影像云PACS</t>
  </si>
  <si>
    <t>JTSJCP02014</t>
  </si>
  <si>
    <t>农技宝</t>
  </si>
  <si>
    <t>040211</t>
  </si>
  <si>
    <t>行业应用类平台(农技宝)</t>
  </si>
  <si>
    <t>产业数字化-平台（大平台）-行业平台及应用-行业平台-农业农村行业平台应用</t>
  </si>
  <si>
    <t>删除，映射1583</t>
  </si>
  <si>
    <t>JTSJCP02015</t>
  </si>
  <si>
    <t>益农服务</t>
  </si>
  <si>
    <t>JTSJCP02016</t>
  </si>
  <si>
    <t>云服务</t>
  </si>
  <si>
    <t>云业务</t>
  </si>
  <si>
    <t>产业数字化-行业云产品-标品销售公有云产品-IaaS-计算服务-专属云-合营</t>
  </si>
  <si>
    <t>JTSJCP02017</t>
  </si>
  <si>
    <t>云主机(VCPU)</t>
  </si>
  <si>
    <t>核</t>
  </si>
  <si>
    <t>云主机的数量</t>
  </si>
  <si>
    <t>010301</t>
  </si>
  <si>
    <t>云主机(CPU)</t>
  </si>
  <si>
    <t>产业数字化-行业云产品-标品销售公有云产品-IaaS-计算服务-合营云主机</t>
  </si>
  <si>
    <t>JTSJCP02075</t>
  </si>
  <si>
    <t>云主机(内存)</t>
  </si>
  <si>
    <t>云及大数据业务</t>
  </si>
  <si>
    <t>010302</t>
  </si>
  <si>
    <t>JTSJCP02076</t>
  </si>
  <si>
    <t>云主机(SSD硬盘)</t>
  </si>
  <si>
    <t>010303</t>
  </si>
  <si>
    <t>云主机(硬盘)</t>
  </si>
  <si>
    <t>JTSJCP02083</t>
  </si>
  <si>
    <t>云主机(SATA硬盘)</t>
  </si>
  <si>
    <t>JTSJCP02084</t>
  </si>
  <si>
    <t>云主机(SAS硬盘)</t>
  </si>
  <si>
    <t>JTSJCP02018</t>
  </si>
  <si>
    <t>云应用</t>
  </si>
  <si>
    <t>产业数字化-行业云产品-标品销售公有云产品-SaaS-云备份</t>
  </si>
  <si>
    <t>1940;1815;1938;1939;2912</t>
  </si>
  <si>
    <t>产业数字化-行业云产品-标品销售公有云产品-SaaS-天翼云盘-企业版;产业数字化-行业云产品-标品销售公有云产品-SaaS-云备份;产业数字化-平台（大平台）-行业视联网业务-天翼视联（行业定制版）-其他;产业数字化-平台（大平台）-行业平台及应用-行业信息化应用-天翼云会议;产业数字化-行业云产品-私有云-其他</t>
  </si>
  <si>
    <t>可选1941删除，映射1940
可选2492删除，映射2912</t>
  </si>
  <si>
    <t>JTSJCP02019</t>
  </si>
  <si>
    <t>云存储</t>
  </si>
  <si>
    <t>T</t>
  </si>
  <si>
    <t>010101</t>
  </si>
  <si>
    <t>云存储平台</t>
  </si>
  <si>
    <t>产业数字化-行业云产品-标品销售公有云产品-IaaS-存储服务-其他-合营</t>
  </si>
  <si>
    <t>JTSJCP02020</t>
  </si>
  <si>
    <t>云能力平台</t>
  </si>
  <si>
    <t>010201</t>
  </si>
  <si>
    <t>产业数字化-行业云产品-标品销售公有云产品-PaaS-通用PaaS-云数据库-合营</t>
  </si>
  <si>
    <t xml:space="preserve"> </t>
  </si>
  <si>
    <t>JTSJCP02021</t>
  </si>
  <si>
    <t>云安全</t>
  </si>
  <si>
    <t>产业数字化-行业安全产品-云堤服务-等保助手</t>
  </si>
  <si>
    <t>1947;1949</t>
  </si>
  <si>
    <t>产业数字化-行业安全产品-云堤服务-等保助手;产业数字化-行业安全产品-云堤服务-其他</t>
  </si>
  <si>
    <t>可选2404删除父级指标</t>
  </si>
  <si>
    <t>JTSJCP02022</t>
  </si>
  <si>
    <t>云桌面</t>
  </si>
  <si>
    <t>云桌面的数量</t>
  </si>
  <si>
    <t>010401</t>
  </si>
  <si>
    <t>云桌面平台</t>
  </si>
  <si>
    <t>产业数字化-行业云产品-标品销售公有云产品-IaaS-计算服务-云电脑（政企版）-自研</t>
  </si>
  <si>
    <t>JTSJCP02023</t>
  </si>
  <si>
    <t>云集成服务</t>
  </si>
  <si>
    <t>JTSJCPDL201901</t>
  </si>
  <si>
    <t>ICT-IDC业务</t>
  </si>
  <si>
    <t>JTSJCP02024</t>
  </si>
  <si>
    <t>IDC基础业务-机架出租</t>
  </si>
  <si>
    <t>机架数量</t>
  </si>
  <si>
    <t>IDC</t>
  </si>
  <si>
    <t>050402</t>
  </si>
  <si>
    <t>数据中心机架平台(三星)</t>
  </si>
  <si>
    <t>产业数字化-行业网络服务-IDC-基础IDC-主机托管-境内</t>
  </si>
  <si>
    <t>1424;1425;</t>
  </si>
  <si>
    <t>产业数字化-行业网络服务-IDC-基础IDC-主机托管-境内;产业数字化-行业网络服务-IDC-基础IDC-主机托管-境外</t>
  </si>
  <si>
    <t>JTSJCP02025</t>
  </si>
  <si>
    <t>IDC基础业务-机房宽带</t>
  </si>
  <si>
    <t>带宽数</t>
  </si>
  <si>
    <t>050101</t>
  </si>
  <si>
    <t>数据中心带宽</t>
  </si>
  <si>
    <t>产业数字化-行业网络服务-IDC-基础IDC-宽带端口</t>
  </si>
  <si>
    <t>1426;1428;1429;1430</t>
  </si>
  <si>
    <t>产业数字化-行业网络服务-IDC-基础IDC-宽带端口;产业数字化-行业网络服务-IDC-基础IDC-机房专线-OTN;产业数字化-行业网络服务-IDC-基础IDC-机房专线-SDH/MSTP;产业数字化-行业网络服务-IDC-基础IDC-机房专线-其他</t>
  </si>
  <si>
    <t>JTSJCP02026</t>
  </si>
  <si>
    <t>IDC增值业务</t>
  </si>
  <si>
    <t>产业数字化-行业网络服务-IDC-基础IDC-其他</t>
  </si>
  <si>
    <t>1437;2565;2566;1433;1947;1950</t>
  </si>
  <si>
    <t>产业数字化-行业网络服务-IDC-基础IDC-其他;产业数字化-行业网络服务-IDC-基础IDC-IDC维护服务-IDC代维;产业数字化-行业网络服务-IDC-基础IDC-IDC维护服务-其他;产业数字化-行业安全产品-云堤服务-DDoS攻击防护-IDC安全服务;产业数字化-行业安全产品-云堤服务-等保助手;产业数字化-行业安全产品-其他</t>
  </si>
  <si>
    <t>可选1435删除，映射1950</t>
  </si>
  <si>
    <t>JTSJCPDL201904</t>
  </si>
  <si>
    <t>ICT-大数据及AI</t>
  </si>
  <si>
    <t>JTSJCP02027</t>
  </si>
  <si>
    <t>大数据标签服务</t>
  </si>
  <si>
    <t>大数据</t>
  </si>
  <si>
    <t>产业数字化-行业大数据服务-数据平台和数据治理-其他</t>
  </si>
  <si>
    <t>删除，映射2777</t>
  </si>
  <si>
    <t>JTSJCP02085</t>
  </si>
  <si>
    <t>大数据咨询报告</t>
  </si>
  <si>
    <t>JTSJCP02086</t>
  </si>
  <si>
    <t>大数据PaaS服务</t>
  </si>
  <si>
    <t>JTSJCP02087</t>
  </si>
  <si>
    <t>大数据SaaS服务</t>
  </si>
  <si>
    <t>JTSJCP02028</t>
  </si>
  <si>
    <t>天翼云会议</t>
  </si>
  <si>
    <t>虚拟会议室数</t>
  </si>
  <si>
    <t>产业数字化-平台（大平台）-行业平台及应用-行业信息化应用-视频会议</t>
  </si>
  <si>
    <t>1653;2443;</t>
  </si>
  <si>
    <t>产业数字化-平台（大平台）-行业平台及应用-行业信息化应用-视频会议;产业数字化-平台（大平台）-行业平台及应用-行业信息化应用-其他</t>
  </si>
  <si>
    <t>可选2445删除，映射2443</t>
  </si>
  <si>
    <t>JTSJCP02029</t>
  </si>
  <si>
    <t>新视通（4G版）</t>
  </si>
  <si>
    <t>终端数量</t>
  </si>
  <si>
    <t>JTSJCP02030</t>
  </si>
  <si>
    <t>全球眼（视频监控）</t>
  </si>
  <si>
    <t>摄像头数量</t>
  </si>
  <si>
    <t>固网应用</t>
  </si>
  <si>
    <t>030203</t>
  </si>
  <si>
    <t>全球眼视频监控平台</t>
  </si>
  <si>
    <t>产业数字化-平台（大平台）-行业视联网业务-全球眼</t>
  </si>
  <si>
    <t>删除，映射1650</t>
  </si>
  <si>
    <t>JTSJCPDL201903</t>
  </si>
  <si>
    <t>ICT-集成及外包服务</t>
  </si>
  <si>
    <t>JTSJCP02031</t>
  </si>
  <si>
    <t>外包呼叫中心服务</t>
  </si>
  <si>
    <t>坐席数量</t>
  </si>
  <si>
    <t>020201</t>
  </si>
  <si>
    <t>呼叫中心坐席平台</t>
  </si>
  <si>
    <t>产业数字化-平台（大平台）-行业平台及应用-行业信息化应用-呼叫中心外包服务收入</t>
  </si>
  <si>
    <t>JTSJCP02032</t>
  </si>
  <si>
    <t>云呼叫中心服务</t>
  </si>
  <si>
    <t>支持坐席数</t>
  </si>
  <si>
    <t>产业数字化-平台（大平台）-行业平台及应用-行业信息化应用-智能语音云-云呼叫中心</t>
  </si>
  <si>
    <t>JTSJCP02033</t>
  </si>
  <si>
    <t>安全咨询与测评</t>
  </si>
  <si>
    <t>产业数字化-行业安全产品-其他</t>
  </si>
  <si>
    <t>删除，映射1950</t>
  </si>
  <si>
    <t>JTSJCP02035</t>
  </si>
  <si>
    <t>网上办事大厅</t>
  </si>
  <si>
    <t>040218</t>
  </si>
  <si>
    <t>行业应用类平台(网上办事大厅)</t>
  </si>
  <si>
    <t>JTSJCP02036</t>
  </si>
  <si>
    <t>城市运营中心（Mini smart city）</t>
  </si>
  <si>
    <t>JTSJCP02037</t>
  </si>
  <si>
    <t>12345政府服务热线</t>
  </si>
  <si>
    <t>JTSJCP02038</t>
  </si>
  <si>
    <t>健康小屋</t>
  </si>
  <si>
    <t>健康小屋数量</t>
  </si>
  <si>
    <t>JTSJCP02039</t>
  </si>
  <si>
    <t>远程医疗</t>
  </si>
  <si>
    <t>JTSJCPDL201913</t>
  </si>
  <si>
    <t>其他固网业务</t>
  </si>
  <si>
    <t>JTSJCP02040</t>
  </si>
  <si>
    <t>爱WiFi</t>
  </si>
  <si>
    <t>热点数</t>
  </si>
  <si>
    <t>固网及智慧家庭服务-固定电话-固网增值业务-其他-CP/SP结算支出</t>
  </si>
  <si>
    <t>删除，映射2735</t>
  </si>
  <si>
    <t>JTSJCP02088</t>
  </si>
  <si>
    <t>商务专线</t>
  </si>
  <si>
    <t>商务光纤接入</t>
  </si>
  <si>
    <t>固网及智慧家庭服务-互联网宽带接入-互联网专线-商务专线</t>
  </si>
  <si>
    <t>JTSJCP02043</t>
  </si>
  <si>
    <t>普通电话</t>
  </si>
  <si>
    <t>部</t>
  </si>
  <si>
    <t>电话数</t>
  </si>
  <si>
    <t>固网及智慧家庭服务-固定电话-固网语音</t>
  </si>
  <si>
    <t>JTSJCP02044</t>
  </si>
  <si>
    <t>语音中继线</t>
  </si>
  <si>
    <t>JTSJCP02045</t>
  </si>
  <si>
    <t>ISDN窄带拨入</t>
  </si>
  <si>
    <t>JTSJCP02051</t>
  </si>
  <si>
    <t>卫星宽带（流量型）</t>
  </si>
  <si>
    <t>JTSJCP02052</t>
  </si>
  <si>
    <t>卫星国际专线</t>
  </si>
  <si>
    <t>JTSJCP02053</t>
  </si>
  <si>
    <t>ADSL终端接入</t>
  </si>
  <si>
    <t>固网及智慧家庭服务-互联网宽带接入-普通宽带-宽带接入收入-其他</t>
  </si>
  <si>
    <t>1309;1310;1311;1312</t>
  </si>
  <si>
    <t>固网及智慧家庭服务-互联网宽带接入-普通宽带-宽带接入收入-FTTH/O;固网及智慧家庭服务-互联网宽带接入-普通宽带-宽带接入收入-ADSL;固网及智慧家庭服务-互联网宽带接入-普通宽带-宽带接入收入-LAN;固网及智慧家庭服务-互联网宽带接入-普通宽带-宽带接入收入-其他</t>
  </si>
  <si>
    <t>JTSJCP02054</t>
  </si>
  <si>
    <t>LAN终端接入</t>
  </si>
  <si>
    <t>JTSJCP02056</t>
  </si>
  <si>
    <t>400;95</t>
  </si>
  <si>
    <t>号码数</t>
  </si>
  <si>
    <t>JTSJCP02057</t>
  </si>
  <si>
    <t>会易通</t>
  </si>
  <si>
    <t>JTSJCP02058</t>
  </si>
  <si>
    <t>天翼高清;iTV;悦Me</t>
  </si>
  <si>
    <t>台</t>
  </si>
  <si>
    <t>天翼高清的台数</t>
  </si>
  <si>
    <t>JTSJCP02060</t>
  </si>
  <si>
    <t>网管专家服务</t>
  </si>
  <si>
    <t>路由器数量</t>
  </si>
  <si>
    <t>020301</t>
  </si>
  <si>
    <t>网管专家平台</t>
  </si>
  <si>
    <t>产业数字化-行业网络服务-云网托管服务-客户云网托管服务收入</t>
  </si>
  <si>
    <t>JTSJCP02061</t>
  </si>
  <si>
    <t>网络及IT外包服务</t>
  </si>
  <si>
    <t>2861;1702;2443;1710;1678;1708</t>
  </si>
  <si>
    <t>产业数字化-平台（大平台）-传统集成业务-集成实施费;产业数字化-平台（大平台）-行业平台及应用-软件开发及服务;产业数字化-平台（大平台）-行业平台及应用-行业信息化应用-其他;产业数字化-平台（大平台）-行业平台及应用-行业信息化应用-应急通信服务收入;产业数字化-行业安全产品-安全服务-其他;产业数字化-行业网络服务-云网托管服务-客户云网托管服务收入</t>
  </si>
  <si>
    <t>可选2527删除，映射2861
可选1703删除，映射1702
可选1711删除，映射2443
加入默认1708</t>
  </si>
  <si>
    <t>JTSJCP02062</t>
  </si>
  <si>
    <t>网络咨询服务</t>
  </si>
  <si>
    <t>产业数字化-行业安全产品-安全服务-其他</t>
  </si>
  <si>
    <t>JTSJCP02063</t>
  </si>
  <si>
    <t>灾难备份服务</t>
  </si>
  <si>
    <t>020501</t>
  </si>
  <si>
    <t>灾备服务业务平台</t>
  </si>
  <si>
    <t>产业数字化-行业安全产品-安全服务-灾备服务</t>
  </si>
  <si>
    <t>JTSJCP02065</t>
  </si>
  <si>
    <t>鹰眼舆情</t>
  </si>
  <si>
    <t>JTSJCP02066</t>
  </si>
  <si>
    <t>其他ICT业务</t>
  </si>
  <si>
    <t>JTSJCP02067</t>
  </si>
  <si>
    <t>企业邮箱</t>
  </si>
  <si>
    <t>邮箱的个数</t>
  </si>
  <si>
    <t>030101</t>
  </si>
  <si>
    <t>企业邮箱平台</t>
  </si>
  <si>
    <t>JTSJCP02068</t>
  </si>
  <si>
    <t>产业数字化-平台（大平台）-传统集成业务-集成实施费</t>
  </si>
  <si>
    <t>删除，映射2861</t>
  </si>
  <si>
    <t>JTSJCP02069</t>
  </si>
  <si>
    <t>精准扶贫集成服务</t>
  </si>
  <si>
    <t>JTSJCP02070</t>
  </si>
  <si>
    <t>IP RAN</t>
  </si>
  <si>
    <t>产业数字化-行业网络服务-普通组网专线-以太专线-大陆境内-本地</t>
  </si>
  <si>
    <t>1557;1558;</t>
  </si>
  <si>
    <t>产业数字化-行业网络服务-组网专线-普通组网专线-以太专线-大陆境内-本地;产业数字化-行业网络服务-组网专线-普通组网专线-以太专线-大陆境内-长途</t>
  </si>
  <si>
    <t>JTSJCP02072</t>
  </si>
  <si>
    <t>设备租赁</t>
  </si>
  <si>
    <t>设备数</t>
  </si>
  <si>
    <t>固网及智慧家庭服务-其他固网通信服务-固网通信网络资源服务收入-固网其他网络资源服务收入</t>
  </si>
  <si>
    <t>JTSJCP02073</t>
  </si>
  <si>
    <t>网元出租</t>
  </si>
  <si>
    <t>1414;1568;</t>
  </si>
  <si>
    <t>固网及智慧家庭服务-其他固网通信服务-固网通信网络资源服务收入-固网其他网络资源服务收入;产业数字化-行业网络服务-组网专线-普通组网专线-国际及港澳台网元业务</t>
  </si>
  <si>
    <t>JTSJCP02074</t>
  </si>
  <si>
    <t>旺铺助手</t>
  </si>
  <si>
    <t>用户数</t>
  </si>
  <si>
    <t>040501</t>
  </si>
  <si>
    <t>旺铺助手平台</t>
  </si>
  <si>
    <t>JTSJCP02077</t>
  </si>
  <si>
    <t>SI结算支出</t>
  </si>
  <si>
    <t>JTSJCP02078</t>
  </si>
  <si>
    <t>设备出售</t>
  </si>
  <si>
    <t>其他-固网其他-实物商品销售-系统集成</t>
  </si>
  <si>
    <t>1742;1746;1769</t>
  </si>
  <si>
    <t>其他-固网其他-实物商品销售-系统集成;其他-固网其他-实物商品销售-其他;其他-移动其他-商品销售-物联网终端设备</t>
  </si>
  <si>
    <t>JTSJCP02079</t>
  </si>
  <si>
    <t>固网其他业务</t>
  </si>
  <si>
    <t>其他-固网其他</t>
  </si>
  <si>
    <t>JTSJCP02080</t>
  </si>
  <si>
    <t>智慧企业</t>
  </si>
  <si>
    <t>JTSJCP02081</t>
  </si>
  <si>
    <t>知识服务</t>
  </si>
  <si>
    <t>JTSJCP02082</t>
  </si>
  <si>
    <t>网络能力开放服务</t>
  </si>
  <si>
    <t>JTSJCP03001</t>
  </si>
  <si>
    <t>行业彩信</t>
  </si>
  <si>
    <t>短号码数量</t>
  </si>
  <si>
    <t>固网及智慧家庭服务-固定电话-固网增值业务</t>
  </si>
  <si>
    <t>JTSJCP03002</t>
  </si>
  <si>
    <t>行业短信</t>
  </si>
  <si>
    <t>JTSJCP03003</t>
  </si>
  <si>
    <t>其他</t>
  </si>
  <si>
    <t>JTSJCP03004</t>
  </si>
  <si>
    <t>流量800</t>
  </si>
  <si>
    <t>包含的流量数</t>
  </si>
  <si>
    <t>JTSJCP03005</t>
  </si>
  <si>
    <t>定位调度能力（精定位或粗定位）</t>
  </si>
  <si>
    <t>次</t>
  </si>
  <si>
    <t>040101</t>
  </si>
  <si>
    <t>定位服务平台</t>
  </si>
  <si>
    <t>产业数字化-平台（大平台）-行业平台及应用-行业信息化应用-基础定位（净收）</t>
  </si>
  <si>
    <t>JTSJCP03006</t>
  </si>
  <si>
    <t>代收代付</t>
  </si>
  <si>
    <t>JTSJCP02091</t>
  </si>
  <si>
    <t>云间高速-IPVPN</t>
  </si>
  <si>
    <t>产业数字化-行业云产品-标品销售公有云产品-IaaS-云网服务-云间高速</t>
  </si>
  <si>
    <t>删除，映射1798</t>
  </si>
  <si>
    <t>JTSJCP02092</t>
  </si>
  <si>
    <t>云间高速-VLL</t>
  </si>
  <si>
    <t>JTSJCP02111</t>
  </si>
  <si>
    <t>数字电路(SDH)-国际港澳台电路</t>
  </si>
  <si>
    <t>产业数字化-行业网络服务-普通组网专线-传输专线（SDH/MSTP/波分/ROADM）-国际及港澳台-境内客户</t>
  </si>
  <si>
    <t>JTSJCP02112</t>
  </si>
  <si>
    <t>MSTP-国际港澳台电路</t>
  </si>
  <si>
    <t>JTSJCP02113</t>
  </si>
  <si>
    <t>大带宽传输专线-国际港澳台电路</t>
  </si>
  <si>
    <t>省际长途WDM电路</t>
  </si>
  <si>
    <t>固网及智慧家庭服务-互联网宽带接入-其他互联网宽带接入业务-国际及港澳台互联网业务-境内客户</t>
  </si>
  <si>
    <t>1400;1401;</t>
  </si>
  <si>
    <t>固网及智慧家庭服务-互联网宽带接入-互联网专线-其他互联网宽带接入业务-国际及港澳台互联网业务-境内客户;固网及智慧家庭服务-互联网宽带接入-互联网专线-其他互联网宽带接入业务-国际及港澳台互联网业务-境外客户</t>
  </si>
  <si>
    <t>JTSJCP02114</t>
  </si>
  <si>
    <t>FIRSR医疗专网</t>
  </si>
  <si>
    <t>产业数字化-行业网络服务-普通组网专线-其他</t>
  </si>
  <si>
    <t>JTSJCP02115</t>
  </si>
  <si>
    <t>精品专线（OTN）-省际长途</t>
  </si>
  <si>
    <t>产业数字化-行业网络服务-普通组网专线-OTN精品专线-大陆境内-长途</t>
  </si>
  <si>
    <t>JTSJCP02201</t>
  </si>
  <si>
    <t>天翼云盘（政企版）</t>
  </si>
  <si>
    <t>产业数字化-行业云产品-标品销售公有云产品-SaaS-天翼云盘-企业版</t>
  </si>
  <si>
    <t>删除，映射1940</t>
  </si>
  <si>
    <t>JTSJCP02202</t>
  </si>
  <si>
    <t>视频分布式云存储</t>
  </si>
  <si>
    <t>产业数字化-行业云产品-标品销售公有云产品-IaaS-存储服务-对象存储-合营</t>
  </si>
  <si>
    <t>JTSJCP02203</t>
  </si>
  <si>
    <t>混合云管理平台</t>
  </si>
  <si>
    <t>JTSJCP02204</t>
  </si>
  <si>
    <t>天翼云监控（智能视频云）</t>
  </si>
  <si>
    <t>产业数字化-平台（大平台）-行业视联网业务-天翼视联（行业定制版）-其他</t>
  </si>
  <si>
    <t>JTSJCP02205</t>
  </si>
  <si>
    <t>天翼云商务直播</t>
  </si>
  <si>
    <t>产业数字化-平台（大平台）-行业平台及应用-行业信息化应用-天翼云会议</t>
  </si>
  <si>
    <t>JTSJCP02206</t>
  </si>
  <si>
    <t>云录音</t>
  </si>
  <si>
    <t>产业数字化-平台（大平台）-行业平台及应用-行业信息化应用-智能语音云-云录音</t>
  </si>
  <si>
    <t>JTSJCP02207</t>
  </si>
  <si>
    <t>云中继</t>
  </si>
  <si>
    <t>产业数字化-平台（大平台）-行业平台及应用-行业信息化应用-智能语音云-云中继</t>
  </si>
  <si>
    <t>JTSJCP02208</t>
  </si>
  <si>
    <t>工作号</t>
  </si>
  <si>
    <t>产业数字化-平台（大平台）-行业平台及应用-行业信息化应用-智能语音云-工作号</t>
  </si>
  <si>
    <t>JTSJCP02209</t>
  </si>
  <si>
    <t>云总机</t>
  </si>
  <si>
    <t>产业数字化-平台（大平台）-行业平台及应用-行业信息化应用-智能语音云-云总机</t>
  </si>
  <si>
    <t>JTSJCP02210</t>
  </si>
  <si>
    <t>一体化政务服务平台</t>
  </si>
  <si>
    <t>JTSJCP02211</t>
  </si>
  <si>
    <t>数字政府数字底座（含数据共享交换平台）</t>
  </si>
  <si>
    <t>JTSJCP02212</t>
  </si>
  <si>
    <t>金融大数据应用平台</t>
  </si>
  <si>
    <t>JTSJCP02213</t>
  </si>
  <si>
    <t>工业互联网平台</t>
  </si>
  <si>
    <t>JTSJCP02214</t>
  </si>
  <si>
    <t>工业PON</t>
  </si>
  <si>
    <t>JTSJCP02215</t>
  </si>
  <si>
    <t>教学视频云平台</t>
  </si>
  <si>
    <t>JTSJCP02216</t>
  </si>
  <si>
    <t>全民健康信息平台</t>
  </si>
  <si>
    <t>JTSJCP02218</t>
  </si>
  <si>
    <t>物联网开放平台</t>
  </si>
  <si>
    <t>产业数字化-行业网络服务-物联网-应用服务-平台应用</t>
  </si>
  <si>
    <t>JTSJCP02219</t>
  </si>
  <si>
    <t>行业短信-富媒体短信</t>
  </si>
  <si>
    <t>移动通信服务-移动信息化应用-个人云产品-天翼云盘</t>
  </si>
  <si>
    <t>删除，映射1120</t>
  </si>
  <si>
    <t>JTSJCP02220</t>
  </si>
  <si>
    <t>行业短信-秒达短信</t>
  </si>
  <si>
    <t>JTSJCP02221</t>
  </si>
  <si>
    <t>行业短信-智能短信</t>
  </si>
  <si>
    <t>JTSJCPDL201915</t>
  </si>
  <si>
    <t>云网融合业务</t>
  </si>
  <si>
    <t>JTSJCP02222</t>
  </si>
  <si>
    <t>FIRST教育专网</t>
  </si>
  <si>
    <t>JTSJCP02223</t>
  </si>
  <si>
    <t>FIRST金融专网</t>
  </si>
  <si>
    <t>JTSJCP02225</t>
  </si>
  <si>
    <t>FIRST视频专网</t>
  </si>
  <si>
    <t>JTSJCP02226</t>
  </si>
  <si>
    <t>FIRST物联专网</t>
  </si>
  <si>
    <t>产业数字化-行业网络服务-物联网-其他</t>
  </si>
  <si>
    <t>删除，映射2891</t>
  </si>
  <si>
    <t>JTSJCP02227</t>
  </si>
  <si>
    <t>云专网（含省内pon云专线）</t>
  </si>
  <si>
    <t>JTSJCP02228</t>
  </si>
  <si>
    <t>智能专线</t>
  </si>
  <si>
    <t>固网及智慧家庭服务-互联网宽带接入-其他互联网宽带接入业务-其他</t>
  </si>
  <si>
    <t>删除，映射2557</t>
  </si>
  <si>
    <t>JTSJCP02230</t>
  </si>
  <si>
    <t>数字乡村平台（村村享）</t>
  </si>
  <si>
    <t>产业数字化-平台（大平台）-行业平台及应用-行业平台-数字乡村</t>
  </si>
  <si>
    <t>删除，映射1991</t>
  </si>
  <si>
    <t>JTSJCP02116</t>
  </si>
  <si>
    <t>精品专线（OTN）-省内长途</t>
  </si>
  <si>
    <t>JTSJCP02117</t>
  </si>
  <si>
    <t>精品专线（OTN）-本地电路</t>
  </si>
  <si>
    <t>产业数字化-行业网络服务-普通组网专线-OTN精品专线-大陆境内-本地</t>
  </si>
  <si>
    <t>JTSJCP02231</t>
  </si>
  <si>
    <t>互联网+督查平台</t>
  </si>
  <si>
    <t>JTSJCP02232</t>
  </si>
  <si>
    <t>互联网+监管平台</t>
  </si>
  <si>
    <t>JTSJCP02233</t>
  </si>
  <si>
    <t>融媒体平台</t>
  </si>
  <si>
    <t>JTSJCP02234</t>
  </si>
  <si>
    <t>全域旅游平台</t>
  </si>
  <si>
    <t>JTSJCP04009</t>
  </si>
  <si>
    <t>城市感知平台</t>
  </si>
  <si>
    <t>JTSJCP04010</t>
  </si>
  <si>
    <t>城市大脑</t>
  </si>
  <si>
    <t>产业数字化-行业AI产品-行业平台AI服务-其他</t>
  </si>
  <si>
    <t>删除，映射2829</t>
  </si>
  <si>
    <t>JTSJCP02235</t>
  </si>
  <si>
    <t>校园安全平台</t>
  </si>
  <si>
    <t>JTSJCP02236</t>
  </si>
  <si>
    <t>医共体信息平台</t>
  </si>
  <si>
    <t>JTSJCP02238</t>
  </si>
  <si>
    <t>中小企业数字化服务平台</t>
  </si>
  <si>
    <t>5G业务</t>
  </si>
  <si>
    <t>JTSJCP04007</t>
  </si>
  <si>
    <t>5G 定制网切片专线</t>
  </si>
  <si>
    <t>产业数字化-行业网络服务-5G定制网-网络定制-5G定制网标品-5G云专线</t>
  </si>
  <si>
    <t>JTSJCP04008</t>
  </si>
  <si>
    <t>5G定制网边缘定制</t>
  </si>
  <si>
    <t>产业数字化-行业网络服务-5G定制网-边缘定制</t>
  </si>
  <si>
    <t>JTSJCP02239</t>
  </si>
  <si>
    <t>天翼云办公</t>
  </si>
  <si>
    <t>JTSJCP02240</t>
  </si>
  <si>
    <t>云堤-等保助手</t>
  </si>
  <si>
    <t>产业数字化-行业安全产品-云堤服务-DDoS攻击防护-其他</t>
  </si>
  <si>
    <t>删除，父级指标，映射2836</t>
  </si>
  <si>
    <t>JTSJCP02301</t>
  </si>
  <si>
    <t>大数据SaaS服务（风控）</t>
  </si>
  <si>
    <t>JTSJCP02302</t>
  </si>
  <si>
    <t>大数据SaaS服务（旅游）</t>
  </si>
  <si>
    <t>JTSJCP02303</t>
  </si>
  <si>
    <t>大数据SaaS服务（交通）</t>
  </si>
  <si>
    <t>JTSJCP02304</t>
  </si>
  <si>
    <t>大数据SaaS服务（新零售）</t>
  </si>
  <si>
    <t>JTSJCP02305</t>
  </si>
  <si>
    <t>大数据SaaS服务（互联网）</t>
  </si>
  <si>
    <t>JTSJCP02306</t>
  </si>
  <si>
    <t>AI技术服务</t>
  </si>
  <si>
    <t>JTSJCP02307</t>
  </si>
  <si>
    <t>云数据库</t>
  </si>
  <si>
    <t>JTSJCP02308</t>
  </si>
  <si>
    <t>云备份</t>
  </si>
  <si>
    <t>JTSJCP02309</t>
  </si>
  <si>
    <t>云课堂</t>
  </si>
  <si>
    <t>产业数字化-行业云产品-私有云-教育云-其他</t>
  </si>
  <si>
    <t>调整至2902</t>
  </si>
  <si>
    <t>JTSJCP02310</t>
  </si>
  <si>
    <t>物联网集成服务</t>
  </si>
  <si>
    <t>JTSJCP04011</t>
  </si>
  <si>
    <t>专属云</t>
  </si>
  <si>
    <t>JTSJCP04012</t>
  </si>
  <si>
    <t>私有云</t>
  </si>
  <si>
    <t>JTSJCP04034</t>
  </si>
  <si>
    <t>社会治理平台-大数据中脑</t>
  </si>
  <si>
    <t>产业数字化-平台（大平台）-行业平台及应用-行业平台-智慧政法公安行业平台应用</t>
  </si>
  <si>
    <t>删除，映射1582</t>
  </si>
  <si>
    <t>JTSJCP04035</t>
  </si>
  <si>
    <t>社会治理平台-平安慧眼</t>
  </si>
  <si>
    <t>JTSJCP04037</t>
  </si>
  <si>
    <t>智慧商业综合体平台</t>
  </si>
  <si>
    <t>JTSJCP04038</t>
  </si>
  <si>
    <t>房地产数字平台</t>
  </si>
  <si>
    <t>JTSJCP04039</t>
  </si>
  <si>
    <t>安责通安全生产服务平台</t>
  </si>
  <si>
    <t>JTSJCP04040</t>
  </si>
  <si>
    <t>工业AR远程协同服务平台（5G+AR服务平台）</t>
  </si>
  <si>
    <t>JTSJCP04041</t>
  </si>
  <si>
    <t>交通运输数字大脑平台</t>
  </si>
  <si>
    <t>JTSJCP04042</t>
  </si>
  <si>
    <t>职教综合管理服务平台</t>
  </si>
  <si>
    <t>JTSJCP04043</t>
  </si>
  <si>
    <t>基础教育“双减”服务平台</t>
  </si>
  <si>
    <t>JTSJCP04044</t>
  </si>
  <si>
    <t>智慧农业平台</t>
  </si>
  <si>
    <t>JTSJCP04045</t>
  </si>
  <si>
    <t>乡村振兴平台</t>
  </si>
  <si>
    <t>JTSJCP04046</t>
  </si>
  <si>
    <t>金融通信服务平台</t>
  </si>
  <si>
    <t>JTSJCP04047</t>
  </si>
  <si>
    <t>智慧商业街区综合治理运营平台</t>
  </si>
  <si>
    <t>JTSJCP04048</t>
  </si>
  <si>
    <t>智慧商企平台</t>
  </si>
  <si>
    <t>JTSJCP04049</t>
  </si>
  <si>
    <t>数字酒店平台</t>
  </si>
  <si>
    <t>产业数字化-平台（大平台）-行业平台及应用-行业平台-文旅行业平台应用</t>
  </si>
  <si>
    <t>删除，映射1589</t>
  </si>
  <si>
    <t>JTSJCP04050</t>
  </si>
  <si>
    <t>一网统管平台</t>
  </si>
  <si>
    <t>JTSJCP04051</t>
  </si>
  <si>
    <t>公共卫生应急管理与指挥决策平台</t>
  </si>
  <si>
    <t>JTSJCP04052</t>
  </si>
  <si>
    <t>生态环境大数据平台</t>
  </si>
  <si>
    <t>产业数字化-平台（大平台）-行业平台及应用-行业平台-应急调度平台应用</t>
  </si>
  <si>
    <t>删除，映射1581</t>
  </si>
  <si>
    <t>JTSJCP04053</t>
  </si>
  <si>
    <t>要客移动应用中台及应用</t>
  </si>
  <si>
    <t>产业数字化-平台（大平台）-行业平台及应用-行业平台-智慧军营平台应用</t>
  </si>
  <si>
    <t>删除，映射1593</t>
  </si>
  <si>
    <t>JTSJCP04054</t>
  </si>
  <si>
    <t>非现役人员服务保障平台及应用</t>
  </si>
  <si>
    <t>JTSJCP04055</t>
  </si>
  <si>
    <t>天翼钉</t>
  </si>
  <si>
    <t>产业数字化-平台（大平台）-行业平台及应用-行业平台-互联网行业平台应用</t>
  </si>
  <si>
    <t>删除，映射1594</t>
  </si>
  <si>
    <t>JTSJCP04056</t>
  </si>
  <si>
    <t>外企翼联</t>
  </si>
  <si>
    <t>JTSJCP02118</t>
  </si>
  <si>
    <t>精品专线（国际版）</t>
  </si>
  <si>
    <t>产业数字化-行业网络服务-普通组网专线-OTN精品专线-国际及港澳台-境内客户</t>
  </si>
  <si>
    <t>1961;1962;1560;1561;1567;1568;</t>
  </si>
  <si>
    <t>产业数字化-行业网络服务-组网专线-普通组网专线-OTN精品专线-国际及港澳台-境内客户;产业数字化-行业网络服务-组网专线-普通组网专线-OTN精品专线-国际及港澳台-境外客户;产业数字化-行业网络服务-组网专线-普通组网专线-以太专线-国际及港澳台-境内客户;产业数字化-行业网络服务-组网专线-普通组网专线-以太专线-国际及港澳台-境外客户;产业数字化-行业网络服务-组网专线-普通组网专线-IP-VPDN;产业数字化-行业网络服务-组网专线-普通组网专线-国际及港澳台网元业务</t>
  </si>
  <si>
    <t>JTSJCP02099</t>
  </si>
  <si>
    <t>移动护士站</t>
  </si>
  <si>
    <t>无</t>
  </si>
  <si>
    <t>JTSJCP04013</t>
  </si>
  <si>
    <t>智慧社区平台</t>
  </si>
  <si>
    <t>产业数字化-平台（大平台）-行业平台及应用-行业平台-智慧社区</t>
  </si>
  <si>
    <t>JTSJCP04014</t>
  </si>
  <si>
    <t>智能建造平台</t>
  </si>
  <si>
    <t>产业数字化-平台（大平台）-行业平台及应用-行业平台-住建行业平台应用</t>
  </si>
  <si>
    <t>删除，映射1586</t>
  </si>
  <si>
    <t>JTSJCP04015</t>
  </si>
  <si>
    <t>城市运管服平台</t>
  </si>
  <si>
    <t>JTSJCP04016</t>
  </si>
  <si>
    <t>园区楼宇平台</t>
  </si>
  <si>
    <t>JTSJCP04018</t>
  </si>
  <si>
    <t>社会治理平台-市域治理</t>
  </si>
  <si>
    <t>JTSJCP04019</t>
  </si>
  <si>
    <t>社会治理平台-智慧法治</t>
  </si>
  <si>
    <t>JTSJCP04021</t>
  </si>
  <si>
    <t>社会治理平台-智慧警务</t>
  </si>
  <si>
    <t>JTSJCP04023</t>
  </si>
  <si>
    <t>民政智慧寄念平台</t>
  </si>
  <si>
    <t>JTSJCP04024</t>
  </si>
  <si>
    <t>智慧营区平台及应用</t>
  </si>
  <si>
    <t>JTSJCP04025</t>
  </si>
  <si>
    <t>高校智慧校园平台</t>
  </si>
  <si>
    <t>JTSJCP04026</t>
  </si>
  <si>
    <t>智慧物流云平台</t>
  </si>
  <si>
    <t>JTSJCP04027</t>
  </si>
  <si>
    <t>风险监测预警综合平台（含应急指挥）</t>
  </si>
  <si>
    <t>JTSJCP04031</t>
  </si>
  <si>
    <t>5G定制网网元定制</t>
  </si>
  <si>
    <t>产业数字化-行业网络服务-5G定制网-网络定制-网元定制</t>
  </si>
  <si>
    <t>JTSJCP04029</t>
  </si>
  <si>
    <t>5G定制网服务定制</t>
  </si>
  <si>
    <t>产业数字化-行业网络服务-5G定制网-服务定制</t>
  </si>
  <si>
    <t>删除，映射2771</t>
  </si>
  <si>
    <t>JTSJCP04058</t>
  </si>
  <si>
    <t>天翼云眼</t>
  </si>
  <si>
    <t>产业数字化-行业云产品-标品销售公有云产品-PaaS-通用PaaS-视频监控服务（VSS）-自研</t>
  </si>
  <si>
    <t>删除，映射2360</t>
  </si>
  <si>
    <t>JTSJCP04059</t>
  </si>
  <si>
    <t>DDos攻击防护</t>
  </si>
  <si>
    <t>JTSJCP04060</t>
  </si>
  <si>
    <t>网站安全专家</t>
  </si>
  <si>
    <t>产业数字化-行业安全产品-云堤服务-网站安全</t>
  </si>
  <si>
    <t>JTSJCP04061</t>
  </si>
  <si>
    <t>域名无忧</t>
  </si>
  <si>
    <t>产业数字化-行业安全产品-云堤服务-其他</t>
  </si>
  <si>
    <t>JTSJCP04062</t>
  </si>
  <si>
    <t>天翼安全大脑</t>
  </si>
  <si>
    <t>产业数字化-行业安全产品-云堤服务-安全大脑-其他</t>
  </si>
  <si>
    <t>删除，父级指标，映射2837</t>
  </si>
  <si>
    <t>JTSJCP04063</t>
  </si>
  <si>
    <t>隐私哨兵</t>
  </si>
  <si>
    <t>JTSJCP04064</t>
  </si>
  <si>
    <t>等保助手</t>
  </si>
  <si>
    <t>删除，映射1947</t>
  </si>
  <si>
    <t>JTSJCP04065</t>
  </si>
  <si>
    <t>天翼安全猫</t>
  </si>
  <si>
    <t>JTSJCP04066</t>
  </si>
  <si>
    <t>反诈雷达</t>
  </si>
  <si>
    <t>JTSJCP04067</t>
  </si>
  <si>
    <t>广目</t>
  </si>
  <si>
    <t>JTSJCP04068</t>
  </si>
  <si>
    <t>CDN加速</t>
  </si>
  <si>
    <t>产业数字化-行业云产品-标品销售公有云产品-云加速（CDN）-合营</t>
  </si>
  <si>
    <t>JTSJCP04069</t>
  </si>
  <si>
    <t>全站加速</t>
  </si>
  <si>
    <t>JTSJCP04070</t>
  </si>
  <si>
    <t>视频直播</t>
  </si>
  <si>
    <t>JTSJCP04071</t>
  </si>
  <si>
    <t>安全加速</t>
  </si>
  <si>
    <t>JTSJCP04072</t>
  </si>
  <si>
    <t>应用加速</t>
  </si>
  <si>
    <t>JTSJCP04073</t>
  </si>
  <si>
    <t>云专网3.0</t>
  </si>
  <si>
    <t>产业数字化-行业网络服务-组网专线-云组网专线-资源池接入专线-云专网（含FIRST教育/医疗/视频专网等）</t>
  </si>
  <si>
    <t>JTSJCP04074</t>
  </si>
  <si>
    <t>政务云</t>
  </si>
  <si>
    <t>JTSJCP04075</t>
  </si>
  <si>
    <t>央企国资云</t>
  </si>
  <si>
    <t>JTSJCP04076</t>
  </si>
  <si>
    <t>工业行业5G定制网</t>
  </si>
  <si>
    <t>JTSJCP04077</t>
  </si>
  <si>
    <t>工业园区+平台</t>
  </si>
  <si>
    <t>JTSJCP04078</t>
  </si>
  <si>
    <t>燃气卫士</t>
  </si>
  <si>
    <t>JTSJCP04079</t>
  </si>
  <si>
    <t>公卫应急指挥平台</t>
  </si>
  <si>
    <t>JTSJCP04030</t>
  </si>
  <si>
    <t>5G工作手机</t>
  </si>
  <si>
    <t>JTSJCP04006</t>
  </si>
  <si>
    <t>5G定制网超级号卡</t>
  </si>
  <si>
    <t>产业数字化-行业网络服务-5G定制网-网络定制-5G定制网标品-超级号卡</t>
  </si>
  <si>
    <t>JTSJCP04080</t>
  </si>
  <si>
    <t>量子安全通信</t>
  </si>
  <si>
    <t>安全</t>
  </si>
  <si>
    <t>产业数字化-行业量子产品-其他</t>
  </si>
  <si>
    <t>1122;1681</t>
  </si>
  <si>
    <t>移动通信服务-移动信息化应用-量子密话;产业数字化-行业量子产品-其他</t>
  </si>
  <si>
    <t>JTSJCP04081</t>
  </si>
  <si>
    <t>VoLTE专用加密手机（B版）</t>
  </si>
  <si>
    <t>JTSJCP01130</t>
  </si>
  <si>
    <t>5G双域快网</t>
  </si>
  <si>
    <t>1726;1966</t>
  </si>
  <si>
    <t>产业数字化-行业网络服务-5G定制网-网络定制-5G定制网标品-超级号卡;产业数字化-行业网络服务-5G定制网-网络定制-网元定制</t>
  </si>
  <si>
    <t>JTSJCP01131</t>
  </si>
  <si>
    <t>天翼云SD-WAN翼惠联子产品</t>
  </si>
  <si>
    <t>云</t>
  </si>
  <si>
    <t>产业数字化-行业网络服务-组网专线-云组网专线-资源池接入专线-SD-WAN</t>
  </si>
  <si>
    <t>JTSJCP01132</t>
  </si>
  <si>
    <t>天翼云SD-WAN翼互联子产品</t>
  </si>
  <si>
    <t>JTSJCP01133</t>
  </si>
  <si>
    <t>天翼云SD-WAN翼际联子产品</t>
  </si>
  <si>
    <t>JTSJCP03011</t>
  </si>
  <si>
    <t>5G商企专网</t>
  </si>
  <si>
    <t>5G</t>
  </si>
  <si>
    <t>移动通信服务-移动语音-月租费收入</t>
  </si>
  <si>
    <t>备注：在配置表下方单列的收入项为其余A级指标收入项，集团未下发匹配的产品名称，待解析时一事一议</t>
  </si>
  <si>
    <t>移动通信服务-手机上网-移动数据结算-网间结算-移动数据国际漫游结算</t>
  </si>
  <si>
    <t>移动通信服务-手机上网-移动数据结算-网间结算-移动数据港台地区漫游结算</t>
  </si>
  <si>
    <t>移动通信服务-手机上网-移动数据结算-网间结算-移动数据澳门地区漫游结算</t>
  </si>
  <si>
    <t>移动通信服务-移动信息化应用-个人内容服务-视频内容服务-天翼云VR/AR-CP/SP结算支出</t>
  </si>
  <si>
    <t>移动通信服务-移动信息化应用-个人内容服务-游戏内容服务-天翼云游戏-CP/SP结算支出</t>
  </si>
  <si>
    <t>移动通信服务-移动信息化应用-个人内容业务-合作权益收入-CP/SP结算支出</t>
  </si>
  <si>
    <t>移动通信服务-其他移动通信服务-移动通信网络资源服务收入-移动通信设备共享服务收入-机房及配套资源合作收入</t>
  </si>
  <si>
    <t>移动通信服务-其他移动通信服务-移动通信网络资源服务收入-移动通信设备共享服务收入-传输线路资源合作收入</t>
  </si>
  <si>
    <t>移动通信服务-其他移动通信服务-移动通信网络资源服务收入-移动通信设备共享服务收入-其他共享合作收入</t>
  </si>
  <si>
    <t>移动通信服务-其他移动通信服务-移动通信网络资源服务收入-移动其他网络资源服务收入</t>
  </si>
  <si>
    <t>固网及智慧家庭服务-固定电话-固网语音-月租费收入</t>
  </si>
  <si>
    <t>固网及智慧家庭服务-固定电话-固话信息产品及增值服务-企业总机-CP/SP结算支出</t>
  </si>
  <si>
    <t>固网及智慧家庭服务-其他固网通信服务-广告收入-其他</t>
  </si>
  <si>
    <t>固网及智慧家庭服务-互联网宽带接入-普通宽带-智能提速</t>
  </si>
  <si>
    <t>固网及智慧家庭服务-互联网宽带接入-普通宽带-国际加速-收入（大收）</t>
  </si>
  <si>
    <t>固网及智慧家庭服务-互联网宽带接入-普通宽带-国际加速-CP/SP结算支出</t>
  </si>
  <si>
    <t>固网及智慧家庭服务-互联网宽带接入-互联网专线-云互联网专线</t>
  </si>
  <si>
    <t>固网及智慧家庭服务-行业类固网产品-互联网专线安全服务（云堤）--网站安全服务</t>
  </si>
  <si>
    <t>固网及智慧家庭服务-行业类固网产品-互联网专线安全服务（云堤）--安全大脑</t>
  </si>
  <si>
    <t>固网及智慧家庭服务-智慧家庭-家庭组网业务-全屋WiFi</t>
  </si>
  <si>
    <t>固网及智慧家庭服务-智慧家庭-家庭组网业务-全屋智能</t>
  </si>
  <si>
    <t>固网及智慧家庭服务-智慧家庭-天翼视联（公众版）</t>
  </si>
  <si>
    <t>固网及智慧家庭服务-智慧家庭-家庭安全产品-安全管家</t>
  </si>
  <si>
    <t>固网及智慧家庭服务-智慧家庭-家庭云产品-天翼云电脑</t>
  </si>
  <si>
    <t>固网及智慧家庭服务-智慧家庭-家庭云产品-家庭云</t>
  </si>
  <si>
    <t>固网及智慧家庭服务-其他固网通信服务-固网通信网络资源服务收入-光纤、管孔、管道出租</t>
  </si>
  <si>
    <t>固网及智慧家庭服务-其他固网通信服务-固网通信网络资源服务收入-通信设备共享服务收入-机房及配套资源合作收入</t>
  </si>
  <si>
    <t>固网及智慧家庭服务-其他固网通信服务-固网通信网络资源服务收入-通信设备共享服务收入-传输线路资源合作收入</t>
  </si>
  <si>
    <t>固网及智慧家庭服务-其他固网通信服务-固网通信网络资源服务收入-通信设备共享服务收入-国际海缆资源合作收入</t>
  </si>
  <si>
    <t>固网及智慧家庭服务-其他固网通信服务-固网通信网络资源服务收入-通信设备共享服务收入-云网融合合作收入</t>
  </si>
  <si>
    <t>固网及智慧家庭服务-其他固网通信服务-固网通信网络资源服务收入-通信设备共享服务收入-其他共享合作收入</t>
  </si>
  <si>
    <t>固网及智慧家庭服务-其他固网通信服务-固网通信网络资源服务收入-固网网络能力共享服务收入</t>
  </si>
  <si>
    <t>固网及智慧家庭服务-其他固网通信服务-互联网类信息服务（净收）-收入（大收）</t>
  </si>
  <si>
    <t>固网及智慧家庭服务-其他固网通信服务-互联网类信息服务（净收）-CP/SP结算支出</t>
  </si>
  <si>
    <t>固网及智慧家庭服务-智慧家庭-家庭AI产品-114AI便民服务</t>
  </si>
  <si>
    <t>移动通信服务-其他移动通信服务-数字集群收入</t>
  </si>
  <si>
    <t>产业数字化-行业网络服务-组网专线-普通组网专线-DDN收入</t>
  </si>
  <si>
    <t>产业数字化-行业网络服务-普通组网专线-帧中继ATM收入</t>
  </si>
  <si>
    <t>产业数字化-行业网络服务-普通组网专线-传输专线（SDH/MSTP/波分/ROADM）-国际及港澳台-境外客户</t>
  </si>
  <si>
    <t>产业数字化-平台（大平台）-行业平台及应用-行业信息化应用-无线VPDN（净收）</t>
  </si>
  <si>
    <t>产业数字化-平台（大平台）-行业平台及应用-行业信息化应用-翼名片-来电名片-固网</t>
  </si>
  <si>
    <t>产业数字化-平台（大平台）-行业平台及应用-行业信息化应用-翼名片-来电名片-移动</t>
  </si>
  <si>
    <t>产业数字化-平台（大平台）-行业平台及应用-行业信息化应用-翼名片-挂机名片-固网</t>
  </si>
  <si>
    <t>产业数字化-平台（大平台）-行业平台及应用-行业信息化应用-翼名片-挂机名片-移动</t>
  </si>
  <si>
    <t>产业数字化-行业安全产品-安全服务-信创服务</t>
  </si>
  <si>
    <t>产业数字化-行业安全产品-安全服务-应急管理</t>
  </si>
  <si>
    <t>产业数字化-行业安全产品-安全服务-安全集成</t>
  </si>
  <si>
    <t>产业数字化-行业安全产品-安全服务-等保服务</t>
  </si>
  <si>
    <t>产业数字化-行业网络服务-物联网-连接服务-流量-非定向流量</t>
  </si>
  <si>
    <t>产业数字化-行业网络服务-物联网-连接服务-流量-漫游结算</t>
  </si>
  <si>
    <t>产业数字化-行业安全产品-物联网安全</t>
  </si>
  <si>
    <t>产业数字化-行业网络服务-5G定制网-网络定制-5G定制网标品-5G切片</t>
  </si>
  <si>
    <t>其他-固网其他-实物商品销售-宽带终端</t>
  </si>
  <si>
    <t>其他-固网其他-实物商品销售-天翼高清终端</t>
  </si>
  <si>
    <t>其他-固网其他-实物商品销售-智慧家庭设备</t>
  </si>
  <si>
    <t>其他-固网其他-实物商品销售-视联网设备</t>
  </si>
  <si>
    <t>其他-固网其他-虚拟商品销售</t>
  </si>
  <si>
    <t>其他-固网其他-积分兑换</t>
  </si>
  <si>
    <t>其他-固网其他-集中服务收入</t>
  </si>
  <si>
    <t>13%;3%</t>
  </si>
  <si>
    <t>其他-固网其他-融资出租设备收入</t>
  </si>
  <si>
    <t>其他-固网其他-出让外购软件使用权收入</t>
  </si>
  <si>
    <t>其他-固网其他-销售材料收入</t>
  </si>
  <si>
    <t>其他-固网其他-其他</t>
  </si>
  <si>
    <t>其他-移动其他</t>
  </si>
  <si>
    <t>其他-移动其他-商品销售-手机终端</t>
  </si>
  <si>
    <t>其他-移动其他-商品销售-物联网卡</t>
  </si>
  <si>
    <t>其他-移动其他-商品销售-其他</t>
  </si>
  <si>
    <t>其他-移动其他-通信资源出租收入</t>
  </si>
  <si>
    <t>其他-移动其他-代办内部单位业务酬金</t>
  </si>
  <si>
    <t>固网及智慧家庭服务-互联网宽带接入-普通宽带-其他-收入（大收）</t>
  </si>
  <si>
    <t>固网及智慧家庭服务-互联网宽带接入-普通宽带-其他-CP/SP结算支出</t>
  </si>
  <si>
    <t>产业数字化-行业AI产品-天翼云AI服务-诸葛AI</t>
  </si>
  <si>
    <t>产业数字化-行业安全产品-天翼云安全</t>
  </si>
  <si>
    <t>产业数字化-行业云产品-标品销售公有云产品-云生态发展收入（被集成）</t>
  </si>
  <si>
    <t>产业数字化-平台（大平台）-行业平台及应用-行业信息化应用-智能语音云-其他</t>
  </si>
  <si>
    <t>产业数字化-平台（大平台）-行业视联网业务-天翼视联（行业标准版）-调测费</t>
  </si>
  <si>
    <t>产业数字化-平台（大平台）-行业视联网业务-天翼视联（行业标准版）-平台服务收入-基础功能服务收入</t>
  </si>
  <si>
    <t>产业数字化-平台（大平台）-行业视联网业务-天翼视联（行业标准版）-平台服务收入-视频汇聚服务收入</t>
  </si>
  <si>
    <t>产业数字化-平台（大平台）-行业视联网业务-天翼视联（行业标准版）-平台服务收入-第三方平台对接收入</t>
  </si>
  <si>
    <t>产业数字化-平台（大平台）-行业视联网业务-天翼视联（行业标准版）-平台服务收入-其他平台服务收入</t>
  </si>
  <si>
    <t>产业数字化-平台（大平台）-行业视联网业务-天翼视联（行业标准版）-云回看服务收入-一次性礼包云回看服务收入</t>
  </si>
  <si>
    <t>产业数字化-平台（大平台）-行业视联网业务-天翼视联（行业标准版）-云回看服务收入-月付型礼包云回看服务收入</t>
  </si>
  <si>
    <t>产业数字化-平台（大平台）-行业视联网业务-天翼视联（行业标准版）-AI行业服务收入</t>
  </si>
  <si>
    <t>产业数字化-平台（大平台）-行业视联网业务-天翼视联（行业标准版）-AI行业应用收入-平安慧眼（标准版）收入</t>
  </si>
  <si>
    <t>产业数字化-平台（大平台）-行业视联网业务-天翼视联（行业标准版）-AI行业应用收入-明厨亮灶收入</t>
  </si>
  <si>
    <t>产业数字化-平台（大平台）-行业视联网业务-天翼视联（行业标准版）-AI行业应用收入-天翼应急收入</t>
  </si>
  <si>
    <t>产业数字化-平台（大平台）-行业视联网业务-天翼视联（行业标准版）-AI行业应用收入-智慧商企收入</t>
  </si>
  <si>
    <t>产业数字化-平台（大平台）-行业视联网业务-天翼视联（行业标准版）-AI行业应用收入-其他</t>
  </si>
  <si>
    <t>产业数字化-平台（大平台）-行业视联网业务-天翼视联（行业标准版）-视联网专线（天翼视联宽带）</t>
  </si>
  <si>
    <t>产业数字化-平台（大平台）-行业视联网业务-天翼视联（行业定制版）-AI行业应用收入-平安慧眼（行业版）</t>
  </si>
  <si>
    <t>产业数字化-行业网络服务-组网专线-云组网专线-资源池间专线</t>
  </si>
  <si>
    <t>产业数字化-行业网络服务-组网专线-云组网专线-资源池接入专线-OTN专线</t>
  </si>
  <si>
    <t>产业数字化-行业网络服务-组网专线-云组网专线-资源池接入专线-其他</t>
  </si>
  <si>
    <t>产业数字化-行业网络服务-组网专线-云组网专线-资源池接入专线-传输专线（SDH/MSTP/波分/ROADM)</t>
  </si>
  <si>
    <t>产业数字化-行业网络服务-组网专线-云组网专线-资源池接入专线-IP虚拟专网</t>
  </si>
  <si>
    <t>移动通信服务-移动信息化应用-行业类移动产品-行业类消息-行业5G消息</t>
  </si>
  <si>
    <t>产业数字化-平台（大平台）-行业平台及应用-行业信息化应用-燃气卫士</t>
  </si>
  <si>
    <t>产业数字化-平台（大平台）-行业平台及应用-行业平台-全屋智能（行业定制版）</t>
  </si>
  <si>
    <t>产业数字化-行业网络服务-IDC-云IDC-主机托管-境内</t>
  </si>
  <si>
    <t>产业数字化-行业网络服务-IDC-云IDC-主机托管-境外</t>
  </si>
  <si>
    <t>产业数字化-行业网络服务-IDC-云IDC-机房专线-OTN</t>
  </si>
  <si>
    <t>产业数字化-行业网络服务-IDC-云IDC-机房专线-SDH/MSTP</t>
  </si>
  <si>
    <t>产业数字化-行业网络服务-IDC-云IDC-机房专线-其他</t>
  </si>
  <si>
    <t>产业数字化-行业网络服务-IDC-云IDC-其他</t>
  </si>
  <si>
    <t>产业数字化-行业AI产品-互联网金融AI服务费</t>
  </si>
  <si>
    <t>产业数字化-行业网络服务-IDC-云IDC-宽带端口-云加速（CDN）专用宽带端口</t>
  </si>
  <si>
    <t>产业数字化-行业网络服务-IDC-云IDC-宽带端口-其他</t>
  </si>
  <si>
    <t>产业数字化-行业云产品-标品销售公有云产品-IaaS-计算服务-云电脑（政企版）-合营</t>
  </si>
  <si>
    <t>产业数字化-行业云产品-标品销售公有云产品-IaaS-计算服务-GPU云桌面-自研</t>
  </si>
  <si>
    <t>产业数字化-行业云产品-标品销售公有云产品-IaaS-计算服务-GPU云桌面-合营</t>
  </si>
  <si>
    <t>产业数字化-行业云产品-标品销售公有云产品-IaaS-计算服务-专属云-自研</t>
  </si>
  <si>
    <t>产业数字化-行业云产品-标品销售公有云产品-IaaS-计算服务-其他-自研</t>
  </si>
  <si>
    <t>产业数字化-行业云产品-标品销售公有云产品-IaaS-计算服务-其他-合营</t>
  </si>
  <si>
    <t>产业数字化-行业云产品-标品销售公有云产品-IaaS-存储服务-对象存储-自研</t>
  </si>
  <si>
    <t>产业数字化-行业云产品-标品销售公有云产品-IaaS-存储服务-其他-自研</t>
  </si>
  <si>
    <t>产业数字化-行业云产品-标品销售公有云产品-云加速（CDN）-自研</t>
  </si>
  <si>
    <t>产业数字化-行业云产品-标品销售公有云产品-PaaS-通用PaaS-云数据库-自研</t>
  </si>
  <si>
    <t>产业数字化-行业云产品-标品销售公有云产品-PaaS-通用PaaS-容器及中间件-自研</t>
  </si>
  <si>
    <t>产业数字化-行业云产品-标品销售公有云产品-PaaS-通用PaaS-容器及中间件-合营</t>
  </si>
  <si>
    <t>产业数字化-行业云产品-标品销售公有云产品-PaaS-通用PaaS-实时云渲染-自研</t>
  </si>
  <si>
    <t>产业数字化-行业云产品-标品销售公有云产品-PaaS-通用PaaS-实时云渲染-合营</t>
  </si>
  <si>
    <t>产业数字化-行业云产品-标品销售公有云产品-PaaS-通用PaaS-视频监控服务（VSS）-合营</t>
  </si>
  <si>
    <t>产业数字化-行业云产品-标品销售公有云产品-PaaS-通用PaaS-其他-自研</t>
  </si>
  <si>
    <t>产业数字化-行业云产品-标品销售公有云产品-PaaS-通用PaaS-其他-合营</t>
  </si>
  <si>
    <t>产业数字化-行业云产品-标品销售公有云产品-PaaS-行业PaaS-自研</t>
  </si>
  <si>
    <t>产业数字化-行业网络服务-5G定制网-平台定制</t>
  </si>
  <si>
    <t>产业数字化-行业云产品-标品销售公有云产品-PaaS-行业PaaS-合营</t>
  </si>
  <si>
    <t>产业数字化-行业云产品-标品销售公有云产品-SaaS-其他-自研</t>
  </si>
  <si>
    <t>产业数字化-行业云产品-标品销售公有云产品-SaaS-其他-合营</t>
  </si>
  <si>
    <t>产业数字化-行业云产品-标品销售公有云产品-边缘一体机（iStack）-自研</t>
  </si>
  <si>
    <t>产业数字化-行业云产品-标品销售公有云产品-边缘一体机（iStack）-合营</t>
  </si>
  <si>
    <t>产业数字化-行业云产品-标品销售公有云产品-边缘盒子（iBox）-自研</t>
  </si>
  <si>
    <t>产业数字化-行业云产品-标品销售公有云产品-边缘盒子（iBox）-合营</t>
  </si>
  <si>
    <t>产业数字化-行业云产品-标品销售公有云产品-边缘算力服务-自研</t>
  </si>
  <si>
    <t>产业数字化-行业云产品-标品销售公有云产品-边缘算力服务-合营</t>
  </si>
  <si>
    <t>产业数字化-行业云产品-标品销售公有云产品-算力分发网络（息壤）-自研</t>
  </si>
  <si>
    <t>产业数字化-行业云产品-标品销售公有云产品-算力分发网络（息壤）-合营</t>
  </si>
  <si>
    <t>产业数字化-行业云产品-标品销售公有云产品-其他-自研</t>
  </si>
  <si>
    <t>产业数字化-行业云产品-标品销售公有云产品-其他-合营</t>
  </si>
  <si>
    <t>产业数字化-平台（大平台）-行业平台及应用-行业平台-数字平台框架产品</t>
  </si>
  <si>
    <t>产业数字化-行业安全产品-云堤服务-安全猫</t>
  </si>
  <si>
    <t>产业数字化-行业安全产品-云堤服务-可信通信</t>
  </si>
  <si>
    <t>产业数字化-行业安全产品-云堤服务-密评助手</t>
  </si>
  <si>
    <t>产业数字化-行业安全产品-云堤服务-数盾</t>
  </si>
  <si>
    <t>产业数字化-行业安全产品-云堤服务-云堤集成</t>
  </si>
  <si>
    <t>产业数字化-行业AI产品-物联网AI服务</t>
  </si>
  <si>
    <t>产业数字化-平台（大平台）-行业平台及应用-行业平台-云管平台</t>
  </si>
  <si>
    <t>产业数字化-行业安全产品-云堤服务-安全大脑-组网专线安全大脑</t>
  </si>
  <si>
    <t>产业数字化-行业网络服务-物联网-套件服务</t>
  </si>
  <si>
    <t>固网及智慧家庭服务-智慧家庭-其他-其他-收入（大收）</t>
  </si>
  <si>
    <t>产业数字化-行业网络服务-IDC-云IDC-IDC维护服务-IDC代维</t>
  </si>
  <si>
    <t>产业数字化-行业网络服务-IDC-云IDC-IDC维护服务-其他</t>
  </si>
  <si>
    <t>产业数字化-行业云产品-云集成项目中公有云产品-IaaS-计算服务-合营云主机</t>
  </si>
  <si>
    <t>产业数字化-行业云产品-云集成项目中公有云产品-IaaS-计算服务-云电脑（政企版）-自研</t>
  </si>
  <si>
    <t>产业数字化-行业云产品-云集成项目中公有云产品-IaaS-计算服务-云电脑（政企版）-合营</t>
  </si>
  <si>
    <t>产业数字化-行业云产品-云集成项目中公有云产品-IaaS-计算服务-GPU云桌面-自研</t>
  </si>
  <si>
    <t>产业数字化-行业云产品-云集成项目中公有云产品-IaaS-计算服务-GPU云桌面-合营</t>
  </si>
  <si>
    <t>产业数字化-行业云产品-云集成项目中公有云产品-IaaS-计算服务-专属云-自研</t>
  </si>
  <si>
    <t>产业数字化-行业云产品-云集成项目中公有云产品-IaaS-计算服务-专属云-合营</t>
  </si>
  <si>
    <t>产业数字化-行业云产品-云集成项目中公有云产品-IaaS-计算服务-其他-自研</t>
  </si>
  <si>
    <t>产业数字化-行业云产品-云集成项目中公有云产品-IaaS-计算服务-其他-合营</t>
  </si>
  <si>
    <t>产业数字化-行业云产品-云集成项目中公有云产品-IaaS-存储服务-对象存储-自研</t>
  </si>
  <si>
    <t>产业数字化-行业云产品-云集成项目中公有云产品-IaaS-存储服务-对象存储-合营</t>
  </si>
  <si>
    <t>产业数字化-行业云产品-云集成项目中公有云产品-IaaS-存储服务-其他-自研</t>
  </si>
  <si>
    <t>产业数字化-行业云产品-云集成项目中公有云产品-IaaS-存储服务-其他-合营</t>
  </si>
  <si>
    <t>产业数字化-行业云产品-云集成项目中公有云产品-SaaS-云加速（CDN）-自研</t>
  </si>
  <si>
    <t>产业数字化-行业云产品-云集成项目中公有云产品-SaaS-云加速（CDN）-合营</t>
  </si>
  <si>
    <t>产业数字化-行业云产品-云集成项目中公有云产品-IaaS-云网服务-云间高速</t>
  </si>
  <si>
    <t>产业数字化-行业云产品-云集成项目中公有云产品-PaaS-通用PaaS-云数据库-自研</t>
  </si>
  <si>
    <t>产业数字化-行业云产品-云集成项目中公有云产品-PaaS-通用PaaS-云数据库-合营</t>
  </si>
  <si>
    <t>产业数字化-行业云产品-云集成项目中公有云产品-PaaS-通用PaaS-容器及中间件-自研</t>
  </si>
  <si>
    <t>产业数字化-行业云产品-云集成项目中公有云产品-PaaS-通用PaaS-容器及中间件-合营</t>
  </si>
  <si>
    <t>产业数字化-行业云产品-云集成项目中公有云产品-PaaS-通用PaaS-实时云渲染-自研</t>
  </si>
  <si>
    <t>产业数字化-行业云产品-云集成项目中公有云产品-PaaS-通用PaaS-实时云渲染-合营</t>
  </si>
  <si>
    <t>产业数字化-行业云产品-云集成项目中公有云产品-PaaS-通用PaaS-视频监控服务（VSS）-自研</t>
  </si>
  <si>
    <t>产业数字化-行业云产品-云集成项目中公有云产品-PaaS-通用PaaS-视频监控服务（VSS）-合营</t>
  </si>
  <si>
    <t>产业数字化-行业云产品-云集成项目中公有云产品-PaaS-通用PaaS-其他-自研</t>
  </si>
  <si>
    <t>产业数字化-行业云产品-云集成项目中公有云产品-PaaS-通用PaaS-其他-合营</t>
  </si>
  <si>
    <t>产业数字化-行业云产品-云集成项目中公有云产品-PaaS-行业PaaS-自研</t>
  </si>
  <si>
    <t>产业数字化-行业云产品-云集成项目中公有云产品-PaaS-行业PaaS-合营</t>
  </si>
  <si>
    <t>产业数字化-行业云产品-云集成项目中公有云产品-SaaS-云备份</t>
  </si>
  <si>
    <t>产业数字化-行业云产品-云集成项目中公有云产品-SaaS-其他-自研</t>
  </si>
  <si>
    <t>产业数字化-行业云产品-云集成项目中公有云产品-SaaS-其他-合营</t>
  </si>
  <si>
    <t>产业数字化-行业云产品-云集成项目中公有云产品-边缘云-边缘一体机（iStack）-自研</t>
  </si>
  <si>
    <t>产业数字化-行业云产品-云集成项目中公有云产品-边缘云-边缘一体机（iStack）-合营</t>
  </si>
  <si>
    <t>产业数字化-行业云产品-云集成项目中公有云产品-边缘云-边缘盒子（iBox）-自研</t>
  </si>
  <si>
    <t>产业数字化-行业云产品-云集成项目中公有云产品-边缘云-边缘盒子（iBox）-合营</t>
  </si>
  <si>
    <t>产业数字化-行业云产品-云集成项目中公有云产品-边缘云-边缘算力服务-自研</t>
  </si>
  <si>
    <t>产业数字化-行业云产品-云集成项目中公有云产品-边缘云-边缘算力服务-合营</t>
  </si>
  <si>
    <t>产业数字化-行业云产品-云集成项目中公有云产品-边缘云-算力分发网络（息壤）-自研</t>
  </si>
  <si>
    <t>产业数字化-行业云产品-云集成项目中公有云产品-边缘云-算力分发网络（息壤）-合营</t>
  </si>
  <si>
    <t>产业数字化-行业云产品-云集成项目中公有云产品-边缘云-其他-自研</t>
  </si>
  <si>
    <t>产业数字化-行业云产品-云集成项目中公有云产品-边缘云-其他-合营</t>
  </si>
  <si>
    <t>产业数字化-平台（大平台）-行业平台及应用-行业平台-卫星应用平台</t>
  </si>
  <si>
    <t>产业数字化-平台（大平台）-行业视联网业务-天翼视联（行业标准版）-其他</t>
  </si>
  <si>
    <t>产业数字化-平台（大平台）-行业平台及应用-行业信息化应用-政企视频彩铃（定制服务）</t>
  </si>
  <si>
    <t>产业数字化-平台（大平台）-行业平台及应用-行业信息化应用-数字酒店</t>
  </si>
  <si>
    <t>产业数字化-平台（大平台）-行业平台及应用-行业信息化应用-天翼智学</t>
  </si>
  <si>
    <t>产业数字化-平台（大平台）-行业平台及应用-行业信息化应用-疗影像云</t>
  </si>
  <si>
    <t>产业数字化-平台（大平台）-行业平台及应用-行业平台-云翼信平台</t>
  </si>
  <si>
    <t>产业数字化-行业云产品-标品销售公有云产品-IaaS-计算服务-通用云主机</t>
  </si>
  <si>
    <t>产业数字化-行业云产品-标品销售公有云产品-IaaS-计算服务-智算云主机</t>
  </si>
  <si>
    <t>产业数字化-行业云产品-标品销售公有云产品-IaaS-计算服务-超算云主机</t>
  </si>
  <si>
    <t>产业数字化-行业云产品-云集成项目中公有云产品-IaaS-计算服务-通用云主机</t>
  </si>
  <si>
    <t>产业数字化-行业云产品-云集成项目中公有云产品-IaaS-计算服务-智算云主机</t>
  </si>
  <si>
    <t>产业数字化-行业云产品-云集成项目中公有云产品-IaaS-计算服务-超算云主机</t>
  </si>
  <si>
    <t>固网及智慧家庭服务-互联网宽带接入-普通宽带-云宽带</t>
  </si>
  <si>
    <t>移动通信服务-其他移动通信服务-移动通信网络资源服务收入-移动网络能力共享服务收入-4G移动网络能力共享服务收入</t>
  </si>
  <si>
    <t>移动通信服务-其他移动通信服务-移动通信网络资源服务收入-移动网络能力共享服务收入-其他</t>
  </si>
  <si>
    <t>固网及智慧家庭服务-固定电话-固网增值业务-其他-收入（大收）</t>
  </si>
  <si>
    <t>固网及智慧家庭服务-其他固网通信服务-其他-收入（大收）</t>
  </si>
  <si>
    <t>固网及智慧家庭服务-其他固网通信服务-其他-CP/SP结算支出</t>
  </si>
  <si>
    <t>产业数字化-行业云产品-标品销售公有云产品-IaaS-云网服务-其他</t>
  </si>
  <si>
    <t>产业数字化-行业云产品-云集成项目中公有云产品-IaaS-云网服务-其他</t>
  </si>
  <si>
    <t>产业数字化-行业云产品-云集成项目中公有云产品-SaaS-天翼云盘（企业版）</t>
  </si>
  <si>
    <t>产业数字化-行业网络服务-IDC-云IDC-智算私有云</t>
  </si>
  <si>
    <t>产业数字化-行业网络服务-物联网-应用服务-行业应用-政务应用</t>
  </si>
  <si>
    <t>产业数字化-行业网络服务-物联网-应用服务-行业应用-应急应用</t>
  </si>
  <si>
    <t>产业数字化-行业网络服务-物联网-应用服务-行业应用-工业应用</t>
  </si>
  <si>
    <t>产业数字化-行业网络服务-物联网-应用服务-行业应用-能源应用</t>
  </si>
  <si>
    <t>产业数字化-行业网络服务-5G定制网-网络定制-5G定制网标品-5G商企专网</t>
  </si>
  <si>
    <t>产业数字化-行业网络服务-5G定制网-网络定制-5G定制网标品-双域快网</t>
  </si>
  <si>
    <t>产业数字化-行业网络服务-5G定制网-其他</t>
  </si>
  <si>
    <t>产业数字化-行业大数据服务-数据平台和数据治理-大数据智算平台</t>
  </si>
  <si>
    <t>产业数字化-行业大数据服务-数据平台和数据治理-数据要素服务平台</t>
  </si>
  <si>
    <t>产业数字化-行业大数据服务-数据标准产品和服务-公众大数据</t>
  </si>
  <si>
    <t>产业数字化-行业大数据服务-数据标准产品和服务-其他</t>
  </si>
  <si>
    <t>产业数字化-行业大数据服务-政务大数据</t>
  </si>
  <si>
    <t>产业数字化-行业大数据服务-卫健大数据</t>
  </si>
  <si>
    <t>产业数字化-行业大数据服务-应急大数据</t>
  </si>
  <si>
    <t>产业数字化-行业大数据服务-政法公安大数据</t>
  </si>
  <si>
    <t>产业数字化-行业大数据服务-农业大数据</t>
  </si>
  <si>
    <t>产业数字化-行业大数据服务-住建大数据</t>
  </si>
  <si>
    <t>产业数字化-行业大数据服务-文宣大数据</t>
  </si>
  <si>
    <t>产业数字化-行业大数据服务-工业大数据</t>
  </si>
  <si>
    <t>产业数字化-行业大数据服务-交通大数据</t>
  </si>
  <si>
    <t>产业数字化-行业大数据服务-教育大数据</t>
  </si>
  <si>
    <t>产业数字化-行业大数据服务-要客大数据</t>
  </si>
  <si>
    <t>产业数字化-行业大数据服务-金融大数据</t>
  </si>
  <si>
    <t>产业数字化-行业大数据服务-互联网大数据</t>
  </si>
  <si>
    <t>产业数字化-行业大数据服务-其他</t>
  </si>
  <si>
    <t>产业数字化-行业大数据服务-其他-数据咨询服务</t>
  </si>
  <si>
    <t>产业数字化-行业大数据服务-其他-其他</t>
  </si>
  <si>
    <t>产业数字化-行业AI产品-天翼云AI服务-其它</t>
  </si>
  <si>
    <t>产业数字化-行业AI产品-星河AI服务-天元平台</t>
  </si>
  <si>
    <t>产业数字化-行业AI产品-星河AI服务-翼平安云脑</t>
  </si>
  <si>
    <t>产业数字化-行业AI产品-星河AI服务-公共安全智能平台</t>
  </si>
  <si>
    <t>产业数字化-行业AI产品-星河AI服务-AI智能中台</t>
  </si>
  <si>
    <t>产业数字化-行业AI产品-星河AI服务-其他</t>
  </si>
  <si>
    <t>产业数字化-行业AI产品-星河AI服务-PaaS底座平台</t>
  </si>
  <si>
    <t>产业数字化-行业AI产品-星河AI服务-星海智算平台</t>
  </si>
  <si>
    <t>产业数字化-行业AI产品-星辰大模型服务-翼治理</t>
  </si>
  <si>
    <t>产业数字化-行业AI产品-星辰大模型服务-AI算法服务</t>
  </si>
  <si>
    <t>产业数字化-行业AI产品-星辰大模型服务-泛AI应用</t>
  </si>
  <si>
    <t>产业数字化-行业AI产品-星辰大模型服务-其他</t>
  </si>
  <si>
    <t>产业数字化-行业AI产品-行业平台AI服务-政法公安AI服务</t>
  </si>
  <si>
    <t>产业数字化-行业AI产品-行业平台AI服务-政务交通AI服务</t>
  </si>
  <si>
    <t>产业数字化-行业AI产品-行业平台AI服务-教育卫健AI服务</t>
  </si>
  <si>
    <t>产业数字化-行业AI产品-行业平台AI服务-文旅应急AI服务</t>
  </si>
  <si>
    <t>产业数字化-行业AI产品-行业平台AI服务-工业AI服务</t>
  </si>
  <si>
    <t>产业数字化-行业AI产品-其他</t>
  </si>
  <si>
    <t>产业数字化-行业安全产品-云堤服务-DDoS攻击防护-云安全服务</t>
  </si>
  <si>
    <t>产业数字化-行业安全产品-云堤服务-DDoS攻击防护-组网专线安全服务</t>
  </si>
  <si>
    <t>产业数字化-行业安全产品-云堤服务-云脉SASE</t>
  </si>
  <si>
    <t>产业数字化-行业安全产品-云堤服务-云剑安服</t>
  </si>
  <si>
    <t>产业数字化-行业量子产品-量子密信</t>
  </si>
  <si>
    <t>产业数字化-行业量子产品-量子安全办公</t>
  </si>
  <si>
    <t>产业数字化-平台（大平台）-行业视联网业务-天翼视联（行业标准版）-AI行业应用收入-平安校园</t>
  </si>
  <si>
    <t>产业数字化-平台（大平台）-行业视联网业务-天翼视联（行业标准版）-AI行业应用收入-智慧工地</t>
  </si>
  <si>
    <t>产业数字化-平台（大平台）-行业视联网业务-天翼视联（行业定制版）-AI行业应用收入-智慧监管（定制版）</t>
  </si>
  <si>
    <t>产业数字化-平台（大平台）-行业视联网业务-天翼视联（行业定制版）-AI行业应用收入-智慧园区/工地（定制版）</t>
  </si>
  <si>
    <t>集成服务（维保）</t>
  </si>
  <si>
    <t>产业数字化-平台（大平台）-传统集成业务-维保服务费</t>
  </si>
  <si>
    <t>网络及IT外包服务（智云护航、机房无忧、办公无忧）</t>
  </si>
  <si>
    <t>产业数字化-行业网络服务-云网托管服务-智能组网（商企版）-专业服务</t>
  </si>
  <si>
    <t>产业数字化-行业网络服务-云网托管服务-智能组网（商企版）-组网服务</t>
  </si>
  <si>
    <t>产业数字化-行业网络服务-云网托管服务-智能组网（商企版）-增值应用服务</t>
  </si>
  <si>
    <t>产业数字化-行业AI产品-星辰大模型服务-行业大模型-政务大模型</t>
  </si>
  <si>
    <t>产业数字化-行业AI产品-星辰大模型服务-行业大模型-卫健大模型</t>
  </si>
  <si>
    <t>产业数字化-行业AI产品-星辰大模型服务-行业大模型-应急大模型</t>
  </si>
  <si>
    <t>产业数字化-行业AI产品-星辰大模型服务-行业大模型-政法公安大模型</t>
  </si>
  <si>
    <t>产业数字化-行业AI产品-星辰大模型服务-行业大模型-农业大模型</t>
  </si>
  <si>
    <t>产业数字化-行业AI产品-星辰大模型服务-行业大模型-住建大模型</t>
  </si>
  <si>
    <t>产业数字化-行业AI产品-星辰大模型服务-行业大模型-文宣大模型</t>
  </si>
  <si>
    <t>产业数字化-行业AI产品-星辰大模型服务-行业大模型-工业大模型</t>
  </si>
  <si>
    <t>产业数字化-行业AI产品-星辰大模型服务-行业大模型-交通大模型</t>
  </si>
  <si>
    <t>产业数字化-行业AI产品-星辰大模型服务-行业大模型-教育大模型</t>
  </si>
  <si>
    <t>产业数字化-行业AI产品-星辰大模型服务-行业大模型-要客大模型</t>
  </si>
  <si>
    <t>产业数字化-行业AI产品-星辰大模型服务-行业大模型-金融大模型</t>
  </si>
  <si>
    <t>产业数字化-行业AI产品-星辰大模型服务-行业大模型-互联网大模型</t>
  </si>
  <si>
    <t>产业数字化-行业AI产品-星辰大模型服务-行业大模型-车企大模型</t>
  </si>
  <si>
    <t>产业数字化-行业AI产品-星辰大模型服务-行业大模型-能源大模型</t>
  </si>
  <si>
    <t>产业数字化-行业AI产品-星辰大模型服务-行业大模型-其他</t>
  </si>
  <si>
    <t>产业数字化-平台（大平台）-行业平台及应用-行业信息化应用-翼智播</t>
  </si>
  <si>
    <t>产业数字化-行业网络服务-云网托管服务-重要通信保障服务</t>
  </si>
  <si>
    <t>产业数字化-行业大数据服务-数据标准产品和服务-风控大数据</t>
  </si>
  <si>
    <t>云服务（在线培训及小微ICT）</t>
  </si>
  <si>
    <t>产业数字化-行业云产品-公有云集成</t>
  </si>
  <si>
    <t>产业数字化-行业云产品-私有云-政务云-云电脑</t>
  </si>
  <si>
    <t>云集成服务（政务云）</t>
  </si>
  <si>
    <t>产业数字化-行业云产品-私有云-政务云-其他</t>
  </si>
  <si>
    <t>产业数字化-行业云产品-私有云-教育云-云电脑</t>
  </si>
  <si>
    <t>产业数字化-行业云产品-私有云-金融云-云电脑</t>
  </si>
  <si>
    <t>产业数字化-行业云产品-私有云-金融云-其他</t>
  </si>
  <si>
    <t>产业数字化-行业云产品-私有云-工业云-云电脑</t>
  </si>
  <si>
    <t>产业数字化-行业云产品-私有云-工业云-其他</t>
  </si>
  <si>
    <t>产业数字化-行业云产品-私有云-医疗云-云电脑</t>
  </si>
  <si>
    <t>产业数字化-行业云产品-私有云-医疗云-其他</t>
  </si>
  <si>
    <t>产业数字化-行业网络服务-IDC-云IDC-云IDC集成</t>
  </si>
  <si>
    <t>产业数字化-行业大数据服务-大数据集成服务</t>
  </si>
  <si>
    <t>产业数字化-行业AI产品-AI集成服务</t>
  </si>
  <si>
    <t>产业数字化-行业量子产品-量子集成</t>
  </si>
  <si>
    <t>产业数字化-平台（大平台）-行业平台及应用-行业平台-天翼云图平台</t>
  </si>
  <si>
    <t>产业数字化-行业大数据服务-数据标准产品和服务-触达大数据</t>
  </si>
  <si>
    <t>产业数字化-行业大数据服务-数据标准产品和服务-洞察大数据</t>
  </si>
  <si>
    <t>产业数字化-平台（大平台）-行业平台及应用-软件开发及服务-内部原子能力收入</t>
  </si>
  <si>
    <t>产业数字化-平台（大平台）-行业平台及应用-软件开发及服务-其他</t>
  </si>
  <si>
    <t>产业数字化-平台（大平台）-行业视联网业务-天翼视联（行业标准版）-AI行业应用收入-智慧卫健</t>
  </si>
  <si>
    <t>产业数字化-平台（大平台）-行业视联网业务-天翼视联（行业定制版）-平台服务收入</t>
  </si>
  <si>
    <t>产业数字化-平台（大平台）-行业视联网业务-天翼视联（行业定制版）-AI行业应用收入-数宇政府（定制版）</t>
  </si>
  <si>
    <t>产业数字化-平台（大平台）-行业视联网业务-天翼视联（行业定制版）-AI行业应用收入-政法公安（定制版）</t>
  </si>
  <si>
    <t>产业数字化-平台（大平台）-行业视联网业务-天翼视联（行业定制版）-AI行业应用收入-农业农村（定制版）</t>
  </si>
  <si>
    <t>产业数字化-平台（大平台）-行业视联网业务-天翼视联（行业定制版）-AI行业应用收入-智慧教育（定制版）</t>
  </si>
  <si>
    <t>产业数字化-平台（大平台）-行业视联网业务-天翼视联（行业定制版）-AI行业应用收入-智慧住建（定制版）</t>
  </si>
  <si>
    <t>产业数字化-平台（大平台）-行业视联网业务-天翼视联（行业定制版）-AI行业应用收入-智慧文宣（定制版）</t>
  </si>
  <si>
    <t>产业数字化-平台（大平台）-行业视联网业务-天翼视联（行业定制版）-AI行业应用收入-智慧应急（定制版）</t>
  </si>
  <si>
    <t>产业数字化-平台（大平台）-行业视联网业务-天翼视联（行业定制版）-AI行业应用收入-交通/工业/金融（定制版）</t>
  </si>
  <si>
    <t>产业数字化-平台（大平台）-行业视联网业务-天翼视联（行业定制版）-AI行业应用收入-智慧卫健（定制版）</t>
  </si>
  <si>
    <t>产业数字化-平台（大平台）-行业视联网业务-天翼视联（行业定制版）-AI行业应用收入-其他</t>
  </si>
  <si>
    <t>融资租赁未确认融资费用</t>
  </si>
  <si>
    <t>指标编码</t>
  </si>
  <si>
    <t>指标名称</t>
  </si>
  <si>
    <t>税目（默认带出）</t>
  </si>
  <si>
    <t>利润中心</t>
  </si>
  <si>
    <t>网络元素使用服务</t>
  </si>
  <si>
    <t>上海电信EDI分公司</t>
  </si>
  <si>
    <t>语音服务</t>
  </si>
  <si>
    <t>总部部门</t>
  </si>
  <si>
    <t>互联网接入服务</t>
  </si>
  <si>
    <t>工程建设中心</t>
  </si>
  <si>
    <t>渠道运营支撑中心（待迁移）</t>
  </si>
  <si>
    <t>云网运营部</t>
  </si>
  <si>
    <t>电子数据和信息的传输及应用服务</t>
  </si>
  <si>
    <t>其他权益性无形资产</t>
  </si>
  <si>
    <t>南区局分公司</t>
  </si>
  <si>
    <t>东区局分公司</t>
  </si>
  <si>
    <t>不动产融资租赁（9%）</t>
  </si>
  <si>
    <t>西区局分公司</t>
  </si>
  <si>
    <t>中区局分公司</t>
  </si>
  <si>
    <t>北区局分公司</t>
  </si>
  <si>
    <t>宝山局分公司</t>
  </si>
  <si>
    <t>莘闵局分公司</t>
  </si>
  <si>
    <t>松江局分公司</t>
  </si>
  <si>
    <t>奉贤局分公司</t>
  </si>
  <si>
    <t>青浦局分公司</t>
  </si>
  <si>
    <t>金山局分公司</t>
  </si>
  <si>
    <t>移互部/移动网优中心/上海5G共建共享工作组</t>
  </si>
  <si>
    <t>崇明局分公司</t>
  </si>
  <si>
    <t>信网部/互联网大客户部</t>
  </si>
  <si>
    <t>互联网部/数字生活部</t>
  </si>
  <si>
    <t>号百公司/智慧商务部</t>
  </si>
  <si>
    <t>广告业务</t>
  </si>
  <si>
    <t>机动局</t>
  </si>
  <si>
    <t>业务管理支撑中心</t>
  </si>
  <si>
    <t>信息园区开发建设部/房屋与土地资产运营中</t>
  </si>
  <si>
    <t>固网及智慧家庭服务-互联网宽带接入-普通宽带-装移机收入</t>
  </si>
  <si>
    <t>安装服务</t>
  </si>
  <si>
    <t>电渠中心</t>
  </si>
  <si>
    <t>固网及智慧家庭服务-互联网宽带接入-普通宽带-业务调测费</t>
  </si>
  <si>
    <t>信息系统服务</t>
  </si>
  <si>
    <t>上海ICNOC</t>
  </si>
  <si>
    <t>固网及智慧家庭服务-互联网宽带接入-普通宽带-宽带接入收入-FTTH/O</t>
  </si>
  <si>
    <t>客服中心</t>
  </si>
  <si>
    <t>固网及智慧家庭服务-互联网宽带接入-普通宽带-宽带接入收入-ADSL</t>
  </si>
  <si>
    <t>市场部</t>
  </si>
  <si>
    <t>固网及智慧家庭服务-互联网宽带接入-普通宽带-宽带接入收入-LAN</t>
  </si>
  <si>
    <t>上海研究院</t>
  </si>
  <si>
    <t>视讯基地</t>
  </si>
  <si>
    <t>车联信息化基地</t>
  </si>
  <si>
    <t>集团客服中心</t>
  </si>
  <si>
    <t>上海电信信息世界</t>
  </si>
  <si>
    <t>自贸区分公司</t>
  </si>
  <si>
    <t>总部集中控制</t>
  </si>
  <si>
    <t>业创中心</t>
  </si>
  <si>
    <t>浦东局分公司</t>
  </si>
  <si>
    <t>固网及智慧家庭服务-互联网宽带接入-互联网专线-普通国内互联网专线收入-ADSL</t>
  </si>
  <si>
    <t>嘉定局分公司</t>
  </si>
  <si>
    <t>固网及智慧家庭服务-互联网宽带接入-互联网专线-普通国内互联网专线收入-LAN</t>
  </si>
  <si>
    <t>市民热线中心</t>
  </si>
  <si>
    <t>固网及智慧家庭服务-互联网宽带接入-互联网专线-普通国内互联网专线收入-光纤直驱</t>
  </si>
  <si>
    <t>罗泾信息网络中心</t>
  </si>
  <si>
    <t>桃浦信息网络中心</t>
  </si>
  <si>
    <t>卓青信息网络中心</t>
  </si>
  <si>
    <t>企业客户服务中心</t>
  </si>
  <si>
    <t>固网及智慧家庭服务-行业类固网产品-互联网专线安全服务（云堤）-DDoS攻击防护服务（互联网）</t>
  </si>
  <si>
    <t>公众客户部/终端公司（待迁移）</t>
  </si>
  <si>
    <t>数字集成部/理想分公司</t>
  </si>
  <si>
    <t>上海公司智慧家庭运营中心</t>
  </si>
  <si>
    <t>固网及智慧家庭服务-行业类固网产品-互联网专线安全服务（云堤）--其他</t>
  </si>
  <si>
    <t>数字政务服务中心</t>
  </si>
  <si>
    <t>金融大客户部</t>
  </si>
  <si>
    <t>固网及智慧家庭服务-互联网宽带接入-其他互联网宽带接入业务-国际及港澳台互联网业务-境外客户</t>
  </si>
  <si>
    <t>工业和服务业大客户部</t>
  </si>
  <si>
    <t>战略大客户部</t>
  </si>
  <si>
    <t>政企客户支撑响应中心</t>
  </si>
  <si>
    <t>固网及智慧家庭服务-互联网宽带接入-卫星宽带-卫星资源服务</t>
  </si>
  <si>
    <t>公共服务大客户部</t>
  </si>
  <si>
    <t>政务大客户部/重大项目管理办公室</t>
  </si>
  <si>
    <t>客户经营中心</t>
  </si>
  <si>
    <t>公众客户部/天翼终端公司上海分公司</t>
  </si>
  <si>
    <t>天翼云科技有限公司上海分公司/云中台</t>
  </si>
  <si>
    <t>渠道运营支撑中心</t>
  </si>
  <si>
    <t>网络和信息安全部</t>
  </si>
  <si>
    <t>天翼云能力运营中心/数字政务服务中心</t>
  </si>
  <si>
    <t>公共服务中心</t>
  </si>
  <si>
    <t>泖南数据服务分部</t>
  </si>
  <si>
    <t>上海公司融合创新研发基地</t>
  </si>
  <si>
    <t>有形动产经营租赁（13%）</t>
  </si>
  <si>
    <t>科创大客户部</t>
  </si>
  <si>
    <t>产业数字化-行业网络服务-普通组网专线-OTN精品专线-国际及港澳台-境外客户</t>
  </si>
  <si>
    <t>产业数字化-行业网络服务-普通组网专线-以太专线-大陆境内-长途</t>
  </si>
  <si>
    <t>产业数字化-行业网络服务-普通组网专线-以太专线-国际及港澳台-境内客户</t>
  </si>
  <si>
    <t>产业数字化-行业网络服务-普通组网专线-以太专线-国际及港澳台-境外客户</t>
  </si>
  <si>
    <t>产业数字化-行业网络服务-普通组网专线-IP虚拟专网-国际及港澳台-境内客户</t>
  </si>
  <si>
    <t>产业数字化-行业网络服务-普通组网专线-IP虚拟专网-国际及港澳台-境外客户</t>
  </si>
  <si>
    <t>产业数字化-行业网络服务-普通组网专线-IP-VPDN</t>
  </si>
  <si>
    <t>产业数字化-行业网络服务-普通组网专线-国际及港澳台网元业务</t>
  </si>
  <si>
    <t>产业数字化-行业网络服务-IDC-基础IDC-主机托管-境外</t>
  </si>
  <si>
    <t>产业数字化-行业网络服务-IDC-基础IDC-机房专线-OTN</t>
  </si>
  <si>
    <t>产业数字化-行业网络服务-IDC-基础IDC-机房专线-SDH/MSTP</t>
  </si>
  <si>
    <t>产业数字化-行业网络服务-IDC-基础IDC-机房专线-其他</t>
  </si>
  <si>
    <t>产业数字化-行业网络服务-IDC-基础IDC-IDC维护服务-IDC代维</t>
  </si>
  <si>
    <t>产业数字化-行业网络服务-IDC-基础IDC-IDC维护服务-其他</t>
  </si>
  <si>
    <t>短彩信服务</t>
  </si>
  <si>
    <t>产业数字化-行业网络服务-IDC-基础IDC-安全应用-云堤收入（IDC）-DDoS攻击防护</t>
  </si>
  <si>
    <t>产业数字化-平台（大平台）-行业平台及应用-行业信息化应用-应急通信服务收入</t>
  </si>
  <si>
    <t>产业数字化-平台（大平台）-行业视联网业务-天翼视联（行业版）-调测费</t>
  </si>
  <si>
    <t>产业数字化-平台（大平台）-行业视联网业务-天翼视联（行业版）-平台服务收入-基础功能服务收入</t>
  </si>
  <si>
    <t>产业数字化-平台（大平台）-行业视联网业务-天翼视联（行业版）-平台服务收入-视频汇聚服务收入</t>
  </si>
  <si>
    <t>产业数字化-平台（大平台）-行业视联网业务-天翼视联（行业版）-平台服务收入-第三方平台对接收入</t>
  </si>
  <si>
    <t>产业数字化-平台（大平台）-行业视联网业务-天翼视联（行业版）-平台服务收入-其他平台服务收入</t>
  </si>
  <si>
    <t>产业数字化-平台（大平台）-行业视联网业务-天翼视联（行业版）-云回看服务收入-一次性礼包云回看服务收入</t>
  </si>
  <si>
    <t>产业数字化-平台（大平台）-行业视联网业务-天翼视联（行业版）-云回看服务收入-月付型礼包云回看服务收入</t>
  </si>
  <si>
    <t>产业数字化-平台（大平台）-行业视联网业务-天翼视联（行业版）-AI行业服务收入</t>
  </si>
  <si>
    <t>产业数字化-平台（大平台）-行业视联网业务-天翼视联（行业版）-AI行业应用收入-平安慧眼（标准版）收入</t>
  </si>
  <si>
    <t>产业数字化-平台（大平台）-行业视联网业务-天翼视联（行业版）-AI行业应用收入-明厨亮灶收入</t>
  </si>
  <si>
    <t>产业数字化-平台（大平台）-行业视联网业务-天翼视联（行业版）-AI行业应用收入-天翼应急收入</t>
  </si>
  <si>
    <t>产业数字化-平台（大平台）-行业视联网业务-天翼视联（行业版）-AI行业应用收入-智慧商企收入</t>
  </si>
  <si>
    <t>产业数字化-平台（大平台）-行业视联网业务-天翼视联（行业版）-AI行业应用收入-其他</t>
  </si>
  <si>
    <t>产业数字化-平台（大平台）-行业视联网业务-天翼视联（行业版）-视联网专线（天翼视联宽带）</t>
  </si>
  <si>
    <t>产业数字化-平台（大平台）-行业视联网业务-天翼视联（行业版）-其他</t>
  </si>
  <si>
    <t>产业数字化-平台（大平台）-行业视联网业务-天翼视联（定制版）-平安慧眼（行业版）</t>
  </si>
  <si>
    <t>产业数字化-平台（大平台）-行业视联网业务-天翼视联（定制版）-其他</t>
  </si>
  <si>
    <t>销售货物</t>
  </si>
  <si>
    <t>其他-固网其他-实物商品销售-其他</t>
  </si>
  <si>
    <t>人力资源服务（6%）</t>
  </si>
  <si>
    <t>有形动产融资租赁（13%）</t>
  </si>
  <si>
    <t>销售无形资产</t>
  </si>
  <si>
    <t>其他-移动其他-商品销售-物联网终端设备</t>
  </si>
  <si>
    <t>经纪代理服务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</si>
</sst>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_([$€-2]* #,##0.00_);_([$€-2]* \(#,##0.00\);_([$€-2]* &quot;-&quot;??_)"/>
  </numFmts>
  <fonts count="46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sz val="10"/>
      <color indexed="8"/>
      <name val="微软雅黑"/>
      <charset val="134"/>
    </font>
    <font>
      <sz val="11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12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11"/>
      <color rgb="FFFF0000"/>
      <name val="微软雅黑"/>
      <charset val="134"/>
    </font>
    <font>
      <sz val="10"/>
      <color rgb="FFFF0000"/>
      <name val="微软雅黑"/>
      <charset val="134"/>
    </font>
    <font>
      <b/>
      <sz val="10"/>
      <color rgb="FFC00000"/>
      <name val="等线"/>
      <charset val="134"/>
      <scheme val="minor"/>
    </font>
    <font>
      <b/>
      <sz val="10"/>
      <color indexed="8"/>
      <name val="微软雅黑"/>
      <charset val="134"/>
    </font>
    <font>
      <b/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b/>
      <u/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sz val="10"/>
      <color rgb="FFC00000"/>
      <name val="微软雅黑"/>
      <charset val="134"/>
    </font>
    <font>
      <b/>
      <sz val="10"/>
      <color rgb="FFC00000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0"/>
      <color indexed="60"/>
      <name val="宋体"/>
      <charset val="134"/>
    </font>
    <font>
      <b/>
      <sz val="10"/>
      <color indexed="60"/>
      <name val="微软雅黑"/>
      <charset val="134"/>
    </font>
    <font>
      <b/>
      <sz val="10"/>
      <color indexed="10"/>
      <name val="微软雅黑"/>
      <charset val="134"/>
    </font>
    <font>
      <b/>
      <sz val="10"/>
      <color indexed="62"/>
      <name val="微软雅黑"/>
      <charset val="134"/>
    </font>
    <font>
      <b/>
      <sz val="10"/>
      <color rgb="FFFF0000"/>
      <name val="宋体"/>
      <charset val="134"/>
    </font>
    <font>
      <b/>
      <sz val="10"/>
      <color rgb="FFFF0000"/>
      <name val="等线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4" borderId="23" applyNumberFormat="0" applyFon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0" borderId="0">
      <alignment vertical="center"/>
    </xf>
    <xf numFmtId="0" fontId="23" fillId="16" borderId="0" applyNumberFormat="0" applyBorder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33" fillId="18" borderId="26" applyNumberFormat="0" applyAlignment="0" applyProtection="0">
      <alignment vertical="center"/>
    </xf>
    <xf numFmtId="0" fontId="34" fillId="18" borderId="22" applyNumberFormat="0" applyAlignment="0" applyProtection="0">
      <alignment vertical="center"/>
    </xf>
    <xf numFmtId="0" fontId="35" fillId="19" borderId="27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/>
    <xf numFmtId="43" fontId="0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/>
    <xf numFmtId="0" fontId="3" fillId="3" borderId="1" xfId="0" applyFont="1" applyFill="1" applyBorder="1" applyAlignment="1">
      <alignment horizontal="center" vertical="center" wrapText="1"/>
    </xf>
    <xf numFmtId="9" fontId="3" fillId="4" borderId="1" xfId="54" applyFont="1" applyFill="1" applyBorder="1" applyAlignment="1">
      <alignment horizontal="center" vertical="center" wrapText="1"/>
    </xf>
    <xf numFmtId="0" fontId="2" fillId="2" borderId="1" xfId="43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9" fontId="2" fillId="2" borderId="1" xfId="11" applyFont="1" applyFill="1" applyBorder="1" applyAlignment="1">
      <alignment horizontal="left"/>
    </xf>
    <xf numFmtId="0" fontId="2" fillId="2" borderId="1" xfId="0" applyFont="1" applyFill="1" applyBorder="1" applyAlignment="1"/>
    <xf numFmtId="0" fontId="4" fillId="2" borderId="1" xfId="22" applyFont="1" applyFill="1" applyBorder="1">
      <alignment vertical="center"/>
    </xf>
    <xf numFmtId="176" fontId="2" fillId="2" borderId="1" xfId="0" applyNumberFormat="1" applyFont="1" applyFill="1" applyBorder="1" applyAlignment="1">
      <alignment horizontal="left"/>
    </xf>
    <xf numFmtId="0" fontId="0" fillId="0" borderId="0" xfId="55" applyAlignment="1">
      <alignment horizontal="center"/>
    </xf>
    <xf numFmtId="0" fontId="5" fillId="0" borderId="0" xfId="55" applyFont="1"/>
    <xf numFmtId="0" fontId="0" fillId="0" borderId="0" xfId="55"/>
    <xf numFmtId="0" fontId="0" fillId="0" borderId="0" xfId="55" applyAlignment="1">
      <alignment horizontal="center" wrapText="1"/>
    </xf>
    <xf numFmtId="0" fontId="0" fillId="0" borderId="0" xfId="55" applyAlignment="1">
      <alignment horizontal="left"/>
    </xf>
    <xf numFmtId="0" fontId="3" fillId="3" borderId="1" xfId="55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49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49" fontId="6" fillId="5" borderId="1" xfId="0" applyNumberFormat="1" applyFont="1" applyFill="1" applyBorder="1">
      <alignment vertical="center"/>
    </xf>
    <xf numFmtId="0" fontId="6" fillId="0" borderId="1" xfId="0" applyFont="1" applyBorder="1" applyAlignment="1">
      <alignment horizontal="left" vertical="center"/>
    </xf>
    <xf numFmtId="9" fontId="3" fillId="3" borderId="1" xfId="1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9" fontId="6" fillId="6" borderId="1" xfId="1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7" fillId="7" borderId="1" xfId="0" applyFont="1" applyFill="1" applyBorder="1" applyAlignment="1">
      <alignment horizontal="left" vertical="center"/>
    </xf>
    <xf numFmtId="0" fontId="0" fillId="0" borderId="0" xfId="0" applyAlignment="1"/>
    <xf numFmtId="0" fontId="8" fillId="0" borderId="0" xfId="56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9" fontId="6" fillId="0" borderId="0" xfId="1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7" borderId="0" xfId="0" applyFont="1" applyFill="1" applyAlignment="1">
      <alignment horizontal="left"/>
    </xf>
    <xf numFmtId="0" fontId="6" fillId="7" borderId="0" xfId="0" applyFont="1" applyFill="1" applyAlignment="1">
      <alignment horizontal="center"/>
    </xf>
    <xf numFmtId="0" fontId="1" fillId="0" borderId="0" xfId="56" applyFont="1" applyProtection="1">
      <alignment vertical="center"/>
      <protection locked="0"/>
    </xf>
    <xf numFmtId="0" fontId="9" fillId="0" borderId="0" xfId="56" applyFont="1" applyAlignment="1" applyProtection="1">
      <alignment horizontal="center" vertical="center"/>
      <protection locked="0"/>
    </xf>
    <xf numFmtId="0" fontId="10" fillId="0" borderId="0" xfId="56" applyFont="1" applyAlignment="1">
      <alignment horizontal="center" vertical="center"/>
    </xf>
    <xf numFmtId="0" fontId="11" fillId="5" borderId="0" xfId="56" applyFont="1" applyFill="1" applyAlignment="1">
      <alignment horizontal="center" vertical="center"/>
    </xf>
    <xf numFmtId="0" fontId="2" fillId="5" borderId="0" xfId="56" applyFont="1" applyFill="1" applyAlignment="1">
      <alignment horizontal="center" vertical="center" wrapText="1"/>
    </xf>
    <xf numFmtId="0" fontId="2" fillId="5" borderId="0" xfId="56" applyFont="1" applyFill="1" applyAlignment="1">
      <alignment horizontal="center" vertical="center"/>
    </xf>
    <xf numFmtId="0" fontId="12" fillId="0" borderId="2" xfId="56" applyFont="1" applyBorder="1" applyAlignment="1">
      <alignment horizontal="center" vertical="top" wrapText="1"/>
    </xf>
    <xf numFmtId="0" fontId="13" fillId="0" borderId="3" xfId="56" applyFont="1" applyBorder="1" applyAlignment="1">
      <alignment horizontal="center" vertical="center" wrapText="1"/>
    </xf>
    <xf numFmtId="0" fontId="14" fillId="0" borderId="4" xfId="56" applyFont="1" applyBorder="1" applyAlignment="1" applyProtection="1">
      <alignment horizontal="center" vertical="center"/>
      <protection locked="0"/>
    </xf>
    <xf numFmtId="14" fontId="4" fillId="0" borderId="1" xfId="56" applyNumberFormat="1" applyFont="1" applyBorder="1" applyAlignment="1" applyProtection="1">
      <alignment horizontal="center" vertical="center" wrapText="1"/>
      <protection locked="0"/>
    </xf>
    <xf numFmtId="0" fontId="4" fillId="0" borderId="1" xfId="56" applyFont="1" applyBorder="1" applyAlignment="1" applyProtection="1">
      <alignment horizontal="center" vertical="center" wrapText="1"/>
      <protection locked="0"/>
    </xf>
    <xf numFmtId="0" fontId="14" fillId="0" borderId="5" xfId="56" applyFont="1" applyBorder="1" applyAlignment="1" applyProtection="1">
      <alignment horizontal="center" vertical="center"/>
      <protection locked="0"/>
    </xf>
    <xf numFmtId="14" fontId="4" fillId="0" borderId="6" xfId="56" applyNumberFormat="1" applyFont="1" applyBorder="1" applyAlignment="1" applyProtection="1">
      <alignment horizontal="center" vertical="center" wrapText="1"/>
      <protection locked="0"/>
    </xf>
    <xf numFmtId="0" fontId="15" fillId="0" borderId="7" xfId="56" applyFont="1" applyBorder="1" applyAlignment="1" applyProtection="1">
      <alignment horizontal="center" vertical="center"/>
      <protection locked="0"/>
    </xf>
    <xf numFmtId="0" fontId="2" fillId="0" borderId="8" xfId="56" applyFont="1" applyBorder="1" applyAlignment="1" applyProtection="1">
      <alignment horizontal="center" vertical="center" wrapText="1"/>
      <protection locked="0"/>
    </xf>
    <xf numFmtId="0" fontId="15" fillId="0" borderId="9" xfId="56" applyFont="1" applyBorder="1" applyAlignment="1">
      <alignment horizontal="center" vertical="center" wrapText="1"/>
    </xf>
    <xf numFmtId="0" fontId="15" fillId="0" borderId="10" xfId="56" applyFont="1" applyBorder="1" applyAlignment="1" applyProtection="1">
      <alignment horizontal="center" vertical="center"/>
      <protection locked="0"/>
    </xf>
    <xf numFmtId="0" fontId="15" fillId="0" borderId="10" xfId="56" applyFont="1" applyBorder="1" applyAlignment="1">
      <alignment horizontal="center" vertical="center" wrapText="1"/>
    </xf>
    <xf numFmtId="0" fontId="16" fillId="0" borderId="10" xfId="56" applyFont="1" applyBorder="1" applyAlignment="1">
      <alignment horizontal="center" vertical="center" wrapText="1"/>
    </xf>
    <xf numFmtId="0" fontId="2" fillId="0" borderId="10" xfId="56" applyFont="1" applyBorder="1" applyAlignment="1" applyProtection="1">
      <alignment horizontal="center" vertical="center"/>
      <protection locked="0"/>
    </xf>
    <xf numFmtId="0" fontId="15" fillId="0" borderId="0" xfId="56" applyFont="1" applyAlignment="1" applyProtection="1">
      <alignment horizontal="center" vertical="center" wrapText="1"/>
      <protection locked="0"/>
    </xf>
    <xf numFmtId="0" fontId="11" fillId="5" borderId="0" xfId="56" applyFont="1" applyFill="1" applyAlignment="1">
      <alignment horizontal="center" vertical="center" wrapText="1"/>
    </xf>
    <xf numFmtId="0" fontId="13" fillId="0" borderId="11" xfId="56" applyFont="1" applyBorder="1" applyAlignment="1">
      <alignment horizontal="center" vertical="center" wrapText="1"/>
    </xf>
    <xf numFmtId="0" fontId="4" fillId="0" borderId="1" xfId="56" applyFont="1" applyBorder="1" applyAlignment="1" applyProtection="1">
      <alignment horizontal="center" vertical="center"/>
      <protection locked="0"/>
    </xf>
    <xf numFmtId="9" fontId="4" fillId="0" borderId="1" xfId="11" applyFont="1" applyFill="1" applyBorder="1" applyAlignment="1" applyProtection="1">
      <alignment horizontal="center" vertical="center" wrapText="1"/>
      <protection locked="0"/>
    </xf>
    <xf numFmtId="43" fontId="4" fillId="0" borderId="1" xfId="58" applyFont="1" applyFill="1" applyBorder="1" applyAlignment="1" applyProtection="1">
      <alignment horizontal="center" vertical="center" wrapText="1"/>
      <protection locked="0"/>
    </xf>
    <xf numFmtId="0" fontId="4" fillId="0" borderId="12" xfId="56" applyFont="1" applyBorder="1" applyAlignment="1" applyProtection="1">
      <alignment horizontal="center" vertical="center"/>
      <protection locked="0"/>
    </xf>
    <xf numFmtId="0" fontId="14" fillId="0" borderId="13" xfId="56" applyFont="1" applyBorder="1" applyAlignment="1" applyProtection="1">
      <alignment horizontal="center" vertical="center"/>
      <protection locked="0"/>
    </xf>
    <xf numFmtId="0" fontId="4" fillId="0" borderId="6" xfId="56" applyFont="1" applyBorder="1" applyAlignment="1" applyProtection="1">
      <alignment horizontal="center" vertical="center"/>
      <protection locked="0"/>
    </xf>
    <xf numFmtId="0" fontId="4" fillId="0" borderId="6" xfId="56" applyFont="1" applyBorder="1" applyAlignment="1" applyProtection="1">
      <alignment horizontal="center" vertical="center" wrapText="1"/>
      <protection locked="0"/>
    </xf>
    <xf numFmtId="9" fontId="4" fillId="0" borderId="6" xfId="11" applyFont="1" applyFill="1" applyBorder="1" applyAlignment="1" applyProtection="1">
      <alignment horizontal="center" vertical="center" wrapText="1"/>
      <protection locked="0"/>
    </xf>
    <xf numFmtId="0" fontId="4" fillId="0" borderId="14" xfId="56" applyFont="1" applyBorder="1" applyAlignment="1" applyProtection="1">
      <alignment horizontal="center" vertical="center"/>
      <protection locked="0"/>
    </xf>
    <xf numFmtId="9" fontId="4" fillId="0" borderId="8" xfId="11" applyFont="1" applyFill="1" applyBorder="1" applyAlignment="1" applyProtection="1">
      <alignment horizontal="center" vertical="center" wrapText="1"/>
      <protection locked="0"/>
    </xf>
    <xf numFmtId="43" fontId="2" fillId="0" borderId="8" xfId="58" applyFont="1" applyFill="1" applyBorder="1" applyAlignment="1" applyProtection="1">
      <alignment horizontal="center" vertical="center" wrapText="1"/>
      <protection locked="0"/>
    </xf>
    <xf numFmtId="176" fontId="2" fillId="0" borderId="15" xfId="56" applyNumberFormat="1" applyFont="1" applyBorder="1" applyAlignment="1" applyProtection="1">
      <alignment horizontal="center" vertical="center" wrapText="1"/>
      <protection locked="0"/>
    </xf>
    <xf numFmtId="0" fontId="13" fillId="0" borderId="0" xfId="56" applyFont="1" applyAlignment="1" applyProtection="1">
      <alignment horizontal="center" vertical="center" wrapText="1"/>
      <protection locked="0"/>
    </xf>
    <xf numFmtId="0" fontId="4" fillId="0" borderId="0" xfId="56" applyFont="1" applyAlignment="1" applyProtection="1">
      <alignment horizontal="center" vertical="center" wrapText="1"/>
      <protection locked="0"/>
    </xf>
    <xf numFmtId="176" fontId="4" fillId="0" borderId="0" xfId="56" applyNumberFormat="1" applyFont="1" applyAlignment="1" applyProtection="1">
      <alignment horizontal="center" vertical="center" wrapText="1"/>
      <protection locked="0"/>
    </xf>
    <xf numFmtId="0" fontId="17" fillId="0" borderId="9" xfId="56" applyFont="1" applyBorder="1" applyAlignment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/>
      <protection locked="0"/>
    </xf>
    <xf numFmtId="0" fontId="17" fillId="0" borderId="10" xfId="56" applyFont="1" applyBorder="1" applyAlignment="1">
      <alignment horizontal="center" vertical="center" wrapText="1"/>
    </xf>
    <xf numFmtId="0" fontId="13" fillId="0" borderId="0" xfId="56" applyFont="1" applyAlignment="1" applyProtection="1">
      <alignment horizontal="left" vertical="center"/>
      <protection locked="0"/>
    </xf>
    <xf numFmtId="0" fontId="2" fillId="0" borderId="0" xfId="56" applyFont="1" applyProtection="1">
      <alignment vertical="center"/>
      <protection locked="0"/>
    </xf>
    <xf numFmtId="0" fontId="2" fillId="0" borderId="0" xfId="56" applyFont="1" applyAlignment="1" applyProtection="1">
      <alignment vertical="center" wrapText="1"/>
      <protection locked="0"/>
    </xf>
    <xf numFmtId="0" fontId="4" fillId="0" borderId="0" xfId="56" applyFont="1" applyAlignment="1" applyProtection="1">
      <alignment horizontal="left" vertical="center"/>
      <protection locked="0"/>
    </xf>
    <xf numFmtId="0" fontId="18" fillId="5" borderId="0" xfId="56" applyFont="1" applyFill="1" applyAlignment="1">
      <alignment horizontal="center" vertical="center" wrapText="1"/>
    </xf>
    <xf numFmtId="0" fontId="10" fillId="8" borderId="0" xfId="56" applyFont="1" applyFill="1" applyAlignment="1">
      <alignment horizontal="center" vertical="center"/>
    </xf>
    <xf numFmtId="0" fontId="19" fillId="0" borderId="11" xfId="56" applyFont="1" applyBorder="1" applyAlignment="1">
      <alignment horizontal="center" vertical="center" wrapText="1"/>
    </xf>
    <xf numFmtId="0" fontId="12" fillId="8" borderId="2" xfId="56" applyFont="1" applyFill="1" applyBorder="1" applyAlignment="1">
      <alignment horizontal="center" vertical="center" wrapText="1"/>
    </xf>
    <xf numFmtId="0" fontId="13" fillId="8" borderId="3" xfId="56" applyFont="1" applyFill="1" applyBorder="1" applyAlignment="1">
      <alignment horizontal="center" vertical="center" wrapText="1"/>
    </xf>
    <xf numFmtId="0" fontId="14" fillId="8" borderId="4" xfId="56" applyFont="1" applyFill="1" applyBorder="1" applyAlignment="1" applyProtection="1">
      <alignment horizontal="center" vertical="center"/>
      <protection locked="0"/>
    </xf>
    <xf numFmtId="14" fontId="4" fillId="8" borderId="1" xfId="56" applyNumberFormat="1" applyFont="1" applyFill="1" applyBorder="1" applyAlignment="1" applyProtection="1">
      <alignment horizontal="center" vertical="center" wrapText="1"/>
      <protection locked="0"/>
    </xf>
    <xf numFmtId="0" fontId="14" fillId="8" borderId="5" xfId="56" applyFont="1" applyFill="1" applyBorder="1" applyAlignment="1" applyProtection="1">
      <alignment horizontal="center" vertical="center"/>
      <protection locked="0"/>
    </xf>
    <xf numFmtId="43" fontId="2" fillId="0" borderId="15" xfId="58" applyFont="1" applyFill="1" applyBorder="1" applyAlignment="1" applyProtection="1">
      <alignment horizontal="center" vertical="center" wrapText="1"/>
      <protection locked="0"/>
    </xf>
    <xf numFmtId="0" fontId="15" fillId="8" borderId="7" xfId="56" applyFont="1" applyFill="1" applyBorder="1" applyAlignment="1" applyProtection="1">
      <alignment horizontal="center" vertical="center"/>
      <protection locked="0"/>
    </xf>
    <xf numFmtId="0" fontId="2" fillId="8" borderId="8" xfId="56" applyFont="1" applyFill="1" applyBorder="1" applyAlignment="1" applyProtection="1">
      <alignment horizontal="center" vertical="center" wrapText="1"/>
      <protection locked="0"/>
    </xf>
    <xf numFmtId="0" fontId="2" fillId="0" borderId="16" xfId="56" applyFont="1" applyBorder="1" applyAlignment="1" applyProtection="1">
      <alignment horizontal="center" vertical="center"/>
      <protection locked="0"/>
    </xf>
    <xf numFmtId="0" fontId="15" fillId="0" borderId="0" xfId="56" applyFont="1" applyAlignment="1" applyProtection="1">
      <alignment horizontal="center" vertical="center"/>
      <protection locked="0"/>
    </xf>
    <xf numFmtId="0" fontId="13" fillId="8" borderId="17" xfId="56" applyFont="1" applyFill="1" applyBorder="1" applyAlignment="1">
      <alignment horizontal="center" vertical="center" wrapText="1"/>
    </xf>
    <xf numFmtId="0" fontId="4" fillId="8" borderId="1" xfId="56" applyFont="1" applyFill="1" applyBorder="1" applyAlignment="1" applyProtection="1">
      <alignment horizontal="center" vertical="center"/>
      <protection locked="0"/>
    </xf>
    <xf numFmtId="0" fontId="4" fillId="8" borderId="1" xfId="56" applyFont="1" applyFill="1" applyBorder="1" applyAlignment="1" applyProtection="1">
      <alignment horizontal="center" vertical="center" wrapText="1"/>
      <protection locked="0"/>
    </xf>
    <xf numFmtId="43" fontId="4" fillId="8" borderId="1" xfId="58" applyFont="1" applyFill="1" applyBorder="1" applyAlignment="1" applyProtection="1">
      <alignment horizontal="center" vertical="center" wrapText="1"/>
      <protection locked="0"/>
    </xf>
    <xf numFmtId="0" fontId="4" fillId="8" borderId="12" xfId="56" applyFont="1" applyFill="1" applyBorder="1" applyAlignment="1" applyProtection="1">
      <alignment horizontal="center" vertical="center"/>
      <protection locked="0"/>
    </xf>
    <xf numFmtId="0" fontId="14" fillId="8" borderId="13" xfId="56" applyFont="1" applyFill="1" applyBorder="1" applyAlignment="1" applyProtection="1">
      <alignment horizontal="center" vertical="center"/>
      <protection locked="0"/>
    </xf>
    <xf numFmtId="14" fontId="4" fillId="8" borderId="6" xfId="56" applyNumberFormat="1" applyFont="1" applyFill="1" applyBorder="1" applyAlignment="1" applyProtection="1">
      <alignment horizontal="center" vertical="center" wrapText="1"/>
      <protection locked="0"/>
    </xf>
    <xf numFmtId="0" fontId="4" fillId="8" borderId="6" xfId="56" applyFont="1" applyFill="1" applyBorder="1" applyAlignment="1" applyProtection="1">
      <alignment horizontal="center" vertical="center"/>
      <protection locked="0"/>
    </xf>
    <xf numFmtId="0" fontId="4" fillId="8" borderId="6" xfId="56" applyFont="1" applyFill="1" applyBorder="1" applyAlignment="1" applyProtection="1">
      <alignment horizontal="center" vertical="center" wrapText="1"/>
      <protection locked="0"/>
    </xf>
    <xf numFmtId="43" fontId="4" fillId="8" borderId="6" xfId="58" applyFont="1" applyFill="1" applyBorder="1" applyAlignment="1" applyProtection="1">
      <alignment horizontal="center" vertical="center" wrapText="1"/>
      <protection locked="0"/>
    </xf>
    <xf numFmtId="0" fontId="4" fillId="8" borderId="18" xfId="56" applyFont="1" applyFill="1" applyBorder="1" applyAlignment="1" applyProtection="1">
      <alignment horizontal="center" vertical="center"/>
      <protection locked="0"/>
    </xf>
    <xf numFmtId="176" fontId="2" fillId="8" borderId="8" xfId="56" applyNumberFormat="1" applyFont="1" applyFill="1" applyBorder="1" applyAlignment="1" applyProtection="1">
      <alignment horizontal="center" vertical="center" wrapText="1"/>
      <protection locked="0"/>
    </xf>
    <xf numFmtId="43" fontId="2" fillId="8" borderId="8" xfId="58" applyFont="1" applyFill="1" applyBorder="1" applyAlignment="1" applyProtection="1">
      <alignment horizontal="center" vertical="center" wrapText="1"/>
      <protection locked="0"/>
    </xf>
    <xf numFmtId="176" fontId="2" fillId="8" borderId="19" xfId="56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56" applyFont="1" applyAlignment="1" applyProtection="1">
      <alignment horizontal="center" vertical="center"/>
      <protection locked="0"/>
    </xf>
    <xf numFmtId="0" fontId="15" fillId="0" borderId="0" xfId="56" applyFont="1" applyAlignment="1" applyProtection="1">
      <alignment vertical="center" wrapText="1"/>
      <protection locked="0"/>
    </xf>
    <xf numFmtId="9" fontId="4" fillId="8" borderId="1" xfId="11" applyFont="1" applyFill="1" applyBorder="1" applyAlignment="1" applyProtection="1">
      <alignment horizontal="center" vertical="center" wrapText="1"/>
      <protection locked="0"/>
    </xf>
    <xf numFmtId="9" fontId="4" fillId="8" borderId="1" xfId="56" applyNumberFormat="1" applyFont="1" applyFill="1" applyBorder="1" applyAlignment="1" applyProtection="1">
      <alignment horizontal="center" vertical="center" wrapText="1"/>
      <protection locked="0"/>
    </xf>
    <xf numFmtId="0" fontId="13" fillId="8" borderId="11" xfId="56" applyFont="1" applyFill="1" applyBorder="1" applyAlignment="1">
      <alignment horizontal="center" vertical="center" wrapText="1"/>
    </xf>
    <xf numFmtId="0" fontId="13" fillId="8" borderId="20" xfId="56" applyFont="1" applyFill="1" applyBorder="1" applyAlignment="1">
      <alignment horizontal="center" vertical="center" wrapText="1"/>
    </xf>
    <xf numFmtId="0" fontId="2" fillId="8" borderId="15" xfId="56" applyFont="1" applyFill="1" applyBorder="1" applyAlignment="1" applyProtection="1">
      <alignment horizontal="center" vertical="center" wrapText="1"/>
      <protection locked="0"/>
    </xf>
    <xf numFmtId="176" fontId="2" fillId="8" borderId="21" xfId="56" applyNumberFormat="1" applyFont="1" applyFill="1" applyBorder="1" applyAlignment="1" applyProtection="1">
      <alignment horizontal="center" vertical="center" wrapText="1"/>
      <protection locked="0"/>
    </xf>
    <xf numFmtId="0" fontId="2" fillId="0" borderId="10" xfId="0" applyFont="1" applyFill="1" applyBorder="1" applyAlignment="1" applyProtection="1" quotePrefix="1">
      <alignment horizontal="center" vertical="center"/>
      <protection locked="0"/>
    </xf>
  </cellXfs>
  <cellStyles count="5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标题 2" xfId="21" builtinId="17"/>
    <cellStyle name="常规 82" xfId="22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百分比 2 2 2" xfId="35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常规 3 2" xfId="43"/>
    <cellStyle name="强调文字颜色 4" xfId="44" builtinId="41"/>
    <cellStyle name="百分比 10" xfId="45"/>
    <cellStyle name="20% - 强调文字颜色 4" xfId="46" builtinId="42"/>
    <cellStyle name="40% - 强调文字颜色 4" xfId="47" builtinId="43"/>
    <cellStyle name="强调文字颜色 5" xfId="48" builtinId="45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百分比 2 2 2 2" xfId="54"/>
    <cellStyle name="常规 3" xfId="55"/>
    <cellStyle name="常规 3 7" xfId="56"/>
    <cellStyle name="常规 3 3 4" xfId="57"/>
    <cellStyle name="千位分隔 2" xfId="58"/>
  </cellStyles>
  <dxfs count="4">
    <dxf>
      <font>
        <strike val="0"/>
      </font>
      <fill>
        <patternFill patternType="gray0625">
          <bgColor theme="0" tint="-0.1498153630176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5" tint="0.599963377788629"/>
        </patternFill>
      </fill>
    </dxf>
    <dxf>
      <fill>
        <patternFill patternType="gray0625">
          <bgColor theme="0" tint="-0.149754325998718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C34"/>
  <sheetViews>
    <sheetView showGridLines="0" tabSelected="1" topLeftCell="A8" workbookViewId="0">
      <selection activeCell="J23" sqref="J23"/>
    </sheetView>
  </sheetViews>
  <sheetFormatPr defaultColWidth="9" defaultRowHeight="12"/>
  <cols>
    <col min="1" max="1" width="17" style="42" customWidth="1"/>
    <col min="2" max="2" width="14.125" style="42" customWidth="1"/>
    <col min="3" max="3" width="13" style="42" customWidth="1"/>
    <col min="4" max="4" width="16.5" style="42" customWidth="1"/>
    <col min="5" max="5" width="13.625" style="42" customWidth="1"/>
    <col min="6" max="6" width="16.625" style="42" customWidth="1"/>
    <col min="7" max="7" width="11.75" style="42" customWidth="1"/>
    <col min="8" max="8" width="15.125" style="42" customWidth="1"/>
    <col min="9" max="9" width="11.5" style="42" customWidth="1"/>
    <col min="10" max="10" width="14.25" style="42" customWidth="1"/>
    <col min="11" max="11" width="18.75" style="42" customWidth="1"/>
    <col min="12" max="12" width="16.375" style="42" customWidth="1"/>
    <col min="13" max="13" width="12.625" style="42" customWidth="1"/>
    <col min="14" max="14" width="13.875" style="42" customWidth="1"/>
    <col min="15" max="15" width="18.75" style="42" customWidth="1"/>
    <col min="16" max="16" width="17.25" style="42" customWidth="1"/>
    <col min="17" max="17" width="16.75" style="42" customWidth="1"/>
    <col min="18" max="18" width="12.25" style="42" customWidth="1"/>
    <col min="19" max="19" width="10.375" style="42" customWidth="1"/>
    <col min="20" max="21" width="12.125" style="42" customWidth="1"/>
    <col min="22" max="22" width="12.25" style="42" customWidth="1"/>
    <col min="23" max="23" width="10.375" style="42" customWidth="1"/>
    <col min="24" max="24" width="9.25" style="42" customWidth="1"/>
    <col min="25" max="25" width="11.625" style="42" customWidth="1"/>
    <col min="26" max="26" width="10.25" style="42" customWidth="1"/>
    <col min="27" max="27" width="17.25" style="42" customWidth="1"/>
    <col min="28" max="16384" width="9" style="42"/>
  </cols>
  <sheetData>
    <row r="1" ht="30" customHeight="1" spans="1:20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ht="33" customHeight="1" spans="1:29">
      <c r="A2" s="44" t="s">
        <v>1</v>
      </c>
      <c r="B2" s="45" t="s">
        <v>2</v>
      </c>
      <c r="C2" s="45" t="s">
        <v>3</v>
      </c>
      <c r="D2" s="45" t="s">
        <v>4</v>
      </c>
      <c r="E2" s="46" t="s">
        <v>5</v>
      </c>
      <c r="F2" s="47" t="s">
        <v>6</v>
      </c>
      <c r="G2" s="45" t="s">
        <v>3</v>
      </c>
      <c r="H2" s="47" t="s">
        <v>6</v>
      </c>
      <c r="I2" s="45" t="s">
        <v>3</v>
      </c>
      <c r="J2" s="47" t="s">
        <v>6</v>
      </c>
      <c r="K2" s="45" t="s">
        <v>2</v>
      </c>
      <c r="L2" s="45" t="s">
        <v>3</v>
      </c>
      <c r="M2" s="47" t="s">
        <v>6</v>
      </c>
      <c r="N2" s="87" t="s">
        <v>7</v>
      </c>
      <c r="O2" s="88" t="s">
        <v>1</v>
      </c>
      <c r="P2" s="45" t="s">
        <v>2</v>
      </c>
      <c r="Q2" s="45" t="s">
        <v>4</v>
      </c>
      <c r="R2" s="46" t="s">
        <v>5</v>
      </c>
      <c r="S2" s="47" t="s">
        <v>6</v>
      </c>
      <c r="T2" s="45" t="s">
        <v>3</v>
      </c>
      <c r="U2" s="47" t="s">
        <v>6</v>
      </c>
      <c r="V2" s="45" t="s">
        <v>3</v>
      </c>
      <c r="W2" s="47" t="s">
        <v>6</v>
      </c>
      <c r="X2" s="45" t="s">
        <v>2</v>
      </c>
      <c r="Y2" s="45" t="s">
        <v>2</v>
      </c>
      <c r="Z2" s="45" t="s">
        <v>2</v>
      </c>
      <c r="AA2" s="47" t="s">
        <v>8</v>
      </c>
      <c r="AB2" s="47" t="s">
        <v>6</v>
      </c>
      <c r="AC2" s="46" t="s">
        <v>5</v>
      </c>
    </row>
    <row r="3" ht="49.5" spans="1:29">
      <c r="A3" s="48" t="s">
        <v>9</v>
      </c>
      <c r="B3" s="49" t="s">
        <v>10</v>
      </c>
      <c r="C3" s="49" t="s">
        <v>11</v>
      </c>
      <c r="D3" s="49" t="s">
        <v>12</v>
      </c>
      <c r="E3" s="49" t="s">
        <v>13</v>
      </c>
      <c r="F3" s="49" t="s">
        <v>14</v>
      </c>
      <c r="G3" s="49" t="s">
        <v>15</v>
      </c>
      <c r="H3" s="49" t="s">
        <v>16</v>
      </c>
      <c r="I3" s="49" t="s">
        <v>17</v>
      </c>
      <c r="J3" s="49" t="s">
        <v>18</v>
      </c>
      <c r="K3" s="49" t="s">
        <v>19</v>
      </c>
      <c r="L3" s="89" t="s">
        <v>20</v>
      </c>
      <c r="M3" s="64" t="s">
        <v>21</v>
      </c>
      <c r="N3" s="64" t="s">
        <v>22</v>
      </c>
      <c r="O3" s="90" t="s">
        <v>23</v>
      </c>
      <c r="P3" s="91" t="s">
        <v>24</v>
      </c>
      <c r="Q3" s="91" t="s">
        <v>12</v>
      </c>
      <c r="R3" s="91" t="s">
        <v>13</v>
      </c>
      <c r="S3" s="91" t="s">
        <v>25</v>
      </c>
      <c r="T3" s="91" t="s">
        <v>15</v>
      </c>
      <c r="U3" s="91" t="s">
        <v>26</v>
      </c>
      <c r="V3" s="91" t="s">
        <v>17</v>
      </c>
      <c r="W3" s="91" t="s">
        <v>18</v>
      </c>
      <c r="X3" s="91" t="s">
        <v>27</v>
      </c>
      <c r="Y3" s="91" t="s">
        <v>28</v>
      </c>
      <c r="Z3" s="91" t="s">
        <v>29</v>
      </c>
      <c r="AA3" s="91" t="s">
        <v>30</v>
      </c>
      <c r="AB3" s="118" t="s">
        <v>21</v>
      </c>
      <c r="AC3" s="119" t="s">
        <v>22</v>
      </c>
    </row>
    <row r="4" ht="30.75" customHeight="1" spans="1:29">
      <c r="A4" s="50">
        <v>1</v>
      </c>
      <c r="B4" s="51"/>
      <c r="C4" s="51"/>
      <c r="D4" s="51"/>
      <c r="E4" s="52" t="str">
        <f>IFERROR(VLOOKUP(D4,【2024年】集团产品与集团产品收入项配置表!$D:$R,9,FALSE),"选择集团产品名称后自动带出")</f>
        <v>选择集团产品名称后自动带出</v>
      </c>
      <c r="F4" s="52" t="str">
        <f>IFERROR(VLOOKUP(D4,【2024年】集团产品与集团产品收入项配置表!$D:$T,16,FALSE),"选择集团产品名称后自动带出")</f>
        <v>选择集团产品名称后自动带出</v>
      </c>
      <c r="G4" s="52"/>
      <c r="H4" s="52" t="str">
        <f>IFERROR(VLOOKUP(D4,【2024年】集团产品与集团产品收入项配置表!$D:$T,17,FALSE),"选择集团产品名称后自动带出")</f>
        <v>选择集团产品名称后自动带出</v>
      </c>
      <c r="I4" s="66"/>
      <c r="J4" s="66" t="str">
        <f>IFERROR(VLOOKUP(D4,【2024年】集团产品与集团产品收入项配置表!$D:$R,10,FALSE),"选择集团产品名称后自动带出")</f>
        <v>选择集团产品名称后自动带出</v>
      </c>
      <c r="K4" s="67"/>
      <c r="L4" s="67"/>
      <c r="M4" s="66" t="str">
        <f>IFERROR(VLOOKUP(D4,【2024年】集团产品与集团产品收入项配置表!$D:$R,14,FALSE),"选择集团产品名称后自动带出")</f>
        <v>选择集团产品名称后自动带出</v>
      </c>
      <c r="N4" s="66" t="str">
        <f>IFERROR(VLOOKUP(D4,【2024年】集团产品与集团产品收入项配置表!$D:$R,15,FALSE),"选择集团产品名称后自动带出")</f>
        <v>选择集团产品名称后自动带出</v>
      </c>
      <c r="O4" s="92">
        <v>1</v>
      </c>
      <c r="P4" s="93"/>
      <c r="Q4" s="93"/>
      <c r="R4" s="102" t="str">
        <f>IFERROR(VLOOKUP(Q4,【2024年】集团产品与集团产品收入项配置表!$D:$R,9,FALSE),"选择集团产品名称后自动带出")</f>
        <v>选择集团产品名称后自动带出</v>
      </c>
      <c r="S4" s="102" t="str">
        <f>IFERROR(VLOOKUP(Q4,【2024年】集团产品与集团产品收入项配置表!$D:$T,16,FALSE),"选择集团产品名称后自动带出")</f>
        <v>选择集团产品名称后自动带出</v>
      </c>
      <c r="T4" s="102"/>
      <c r="U4" s="102" t="str">
        <f>IFERROR(VLOOKUP(Q4,【2024年】集团产品与集团产品收入项配置表!$D:$T,17,FALSE),"选择集团产品名称后自动带出")</f>
        <v>选择集团产品名称后自动带出</v>
      </c>
      <c r="V4" s="116"/>
      <c r="W4" s="117" t="str">
        <f>IFERROR(VLOOKUP(Q4,【2024年】集团产品与集团产品收入项配置表!$D:$R,10,FALSE),"选择集团产品名称后自动带出")</f>
        <v>选择集团产品名称后自动带出</v>
      </c>
      <c r="X4" s="102"/>
      <c r="Y4" s="103"/>
      <c r="Z4" s="102"/>
      <c r="AA4" s="103">
        <f>Y4*Z4*X4</f>
        <v>0</v>
      </c>
      <c r="AB4" s="117" t="str">
        <f>IFERROR(VLOOKUP(Q4,【2024年】集团产品与集团产品收入项配置表!$D:$R,14,FALSE),"选择集团产品名称后自动带出")</f>
        <v>选择集团产品名称后自动带出</v>
      </c>
      <c r="AC4" s="117" t="str">
        <f>IFERROR(VLOOKUP(Q4,【2024年】集团产品与集团产品收入项配置表!$D:$R,15,FALSE),"选择集团产品名称后自动带出")</f>
        <v>选择集团产品名称后自动带出</v>
      </c>
    </row>
    <row r="5" ht="30" customHeight="1" spans="1:29">
      <c r="A5" s="53">
        <v>2</v>
      </c>
      <c r="B5" s="51"/>
      <c r="C5" s="51"/>
      <c r="D5" s="51"/>
      <c r="E5" s="52" t="str">
        <f>IFERROR(VLOOKUP(D5,【2024年】集团产品与集团产品收入项配置表!$D:$R,9,FALSE),"选择集团产品名称后自动带出")</f>
        <v>选择集团产品名称后自动带出</v>
      </c>
      <c r="F5" s="52" t="str">
        <f>IFERROR(VLOOKUP(D5,【2024年】集团产品与集团产品收入项配置表!$D:$T,16,FALSE),"选择集团产品名称后自动带出")</f>
        <v>选择集团产品名称后自动带出</v>
      </c>
      <c r="G5" s="52"/>
      <c r="H5" s="52" t="str">
        <f>IFERROR(VLOOKUP(D5,【2024年】集团产品与集团产品收入项配置表!$D:$T,17,FALSE),"选择集团产品名称后自动带出")</f>
        <v>选择集团产品名称后自动带出</v>
      </c>
      <c r="I5" s="66"/>
      <c r="J5" s="66" t="str">
        <f>IFERROR(VLOOKUP(D5,【2024年】集团产品与集团产品收入项配置表!$D:$R,10,FALSE),"选择集团产品名称后自动带出")</f>
        <v>选择集团产品名称后自动带出</v>
      </c>
      <c r="K5" s="67"/>
      <c r="L5" s="67"/>
      <c r="M5" s="66" t="str">
        <f>IFERROR(VLOOKUP(D5,【2024年】集团产品与集团产品收入项配置表!$D:$R,14,FALSE),"选择集团产品名称后自动带出")</f>
        <v>选择集团产品名称后自动带出</v>
      </c>
      <c r="N5" s="66" t="str">
        <f>IFERROR(VLOOKUP(D5,【2024年】集团产品与集团产品收入项配置表!$D:$R,15,FALSE),"选择集团产品名称后自动带出")</f>
        <v>选择集团产品名称后自动带出</v>
      </c>
      <c r="O5" s="94">
        <v>2</v>
      </c>
      <c r="P5" s="93"/>
      <c r="Q5" s="93"/>
      <c r="R5" s="102" t="str">
        <f>IFERROR(VLOOKUP(Q5,【2024年】集团产品与集团产品收入项配置表!$D:$R,9,FALSE),"选择集团产品名称后自动带出")</f>
        <v>选择集团产品名称后自动带出</v>
      </c>
      <c r="S5" s="102" t="str">
        <f>IFERROR(VLOOKUP(Q5,【2024年】集团产品与集团产品收入项配置表!$D:$T,16,FALSE),"选择集团产品名称后自动带出")</f>
        <v>选择集团产品名称后自动带出</v>
      </c>
      <c r="T5" s="102"/>
      <c r="U5" s="102" t="str">
        <f>IFERROR(VLOOKUP(Q5,【2024年】集团产品与集团产品收入项配置表!$D:$T,17,FALSE),"选择集团产品名称后自动带出")</f>
        <v>选择集团产品名称后自动带出</v>
      </c>
      <c r="V5" s="116"/>
      <c r="W5" s="117" t="str">
        <f>IFERROR(VLOOKUP(Q5,【2024年】集团产品与集团产品收入项配置表!$D:$R,10,FALSE),"选择集团产品名称后自动带出")</f>
        <v>选择集团产品名称后自动带出</v>
      </c>
      <c r="X5" s="102"/>
      <c r="Y5" s="103"/>
      <c r="Z5" s="102"/>
      <c r="AA5" s="103">
        <f>Y5*Z5*X5</f>
        <v>0</v>
      </c>
      <c r="AB5" s="117" t="str">
        <f>IFERROR(VLOOKUP(Q5,【2024年】集团产品与集团产品收入项配置表!$D:$R,14,FALSE),"选择集团产品名称后自动带出")</f>
        <v>选择集团产品名称后自动带出</v>
      </c>
      <c r="AC5" s="117" t="str">
        <f>IFERROR(VLOOKUP(Q5,【2024年】集团产品与集团产品收入项配置表!$D:$R,15,FALSE),"选择集团产品名称后自动带出")</f>
        <v>选择集团产品名称后自动带出</v>
      </c>
    </row>
    <row r="6" ht="30" customHeight="1" spans="1:29">
      <c r="A6" s="53">
        <v>3</v>
      </c>
      <c r="B6" s="51"/>
      <c r="C6" s="51"/>
      <c r="D6" s="51"/>
      <c r="E6" s="52" t="str">
        <f>IFERROR(VLOOKUP(D6,【2024年】集团产品与集团产品收入项配置表!$D:$R,9,FALSE),"选择集团产品名称后自动带出")</f>
        <v>选择集团产品名称后自动带出</v>
      </c>
      <c r="F6" s="52" t="str">
        <f>IFERROR(VLOOKUP(D6,【2024年】集团产品与集团产品收入项配置表!$D:$T,16,FALSE),"选择集团产品名称后自动带出")</f>
        <v>选择集团产品名称后自动带出</v>
      </c>
      <c r="G6" s="52"/>
      <c r="H6" s="52" t="str">
        <f>IFERROR(VLOOKUP(D6,【2024年】集团产品与集团产品收入项配置表!$D:$T,17,FALSE),"选择集团产品名称后自动带出")</f>
        <v>选择集团产品名称后自动带出</v>
      </c>
      <c r="I6" s="66"/>
      <c r="J6" s="66" t="str">
        <f>IFERROR(VLOOKUP(D6,【2024年】集团产品与集团产品收入项配置表!$D:$R,10,FALSE),"选择集团产品名称后自动带出")</f>
        <v>选择集团产品名称后自动带出</v>
      </c>
      <c r="K6" s="67"/>
      <c r="L6" s="67"/>
      <c r="M6" s="66" t="str">
        <f>IFERROR(VLOOKUP(D6,【2024年】集团产品与集团产品收入项配置表!$D:$R,14,FALSE),"选择集团产品名称后自动带出")</f>
        <v>选择集团产品名称后自动带出</v>
      </c>
      <c r="N6" s="66" t="str">
        <f>IFERROR(VLOOKUP(D6,【2024年】集团产品与集团产品收入项配置表!$D:$R,15,FALSE),"选择集团产品名称后自动带出")</f>
        <v>选择集团产品名称后自动带出</v>
      </c>
      <c r="O6" s="94">
        <v>3</v>
      </c>
      <c r="P6" s="93"/>
      <c r="Q6" s="93"/>
      <c r="R6" s="102" t="str">
        <f>IFERROR(VLOOKUP(Q6,【2024年】集团产品与集团产品收入项配置表!$D:$R,9,FALSE),"选择集团产品名称后自动带出")</f>
        <v>选择集团产品名称后自动带出</v>
      </c>
      <c r="S6" s="102" t="str">
        <f>IFERROR(VLOOKUP(Q6,【2024年】集团产品与集团产品收入项配置表!$D:$T,16,FALSE),"选择集团产品名称后自动带出")</f>
        <v>选择集团产品名称后自动带出</v>
      </c>
      <c r="T6" s="102"/>
      <c r="U6" s="102" t="str">
        <f>IFERROR(VLOOKUP(Q6,【2024年】集团产品与集团产品收入项配置表!$D:$T,17,FALSE),"选择集团产品名称后自动带出")</f>
        <v>选择集团产品名称后自动带出</v>
      </c>
      <c r="V6" s="116"/>
      <c r="W6" s="117" t="str">
        <f>IFERROR(VLOOKUP(Q6,【2024年】集团产品与集团产品收入项配置表!$D:$R,10,FALSE),"选择集团产品名称后自动带出")</f>
        <v>选择集团产品名称后自动带出</v>
      </c>
      <c r="X6" s="102"/>
      <c r="Y6" s="103"/>
      <c r="Z6" s="102"/>
      <c r="AA6" s="103">
        <f>Y6*Z6*X6</f>
        <v>0</v>
      </c>
      <c r="AB6" s="117" t="str">
        <f>IFERROR(VLOOKUP(Q6,【2024年】集团产品与集团产品收入项配置表!$D:$R,14,FALSE),"选择集团产品名称后自动带出")</f>
        <v>选择集团产品名称后自动带出</v>
      </c>
      <c r="AC6" s="117" t="str">
        <f>IFERROR(VLOOKUP(Q6,【2024年】集团产品与集团产品收入项配置表!$D:$R,15,FALSE),"选择集团产品名称后自动带出")</f>
        <v>选择集团产品名称后自动带出</v>
      </c>
    </row>
    <row r="7" ht="30" customHeight="1" spans="1:29">
      <c r="A7" s="53">
        <v>4</v>
      </c>
      <c r="B7" s="54"/>
      <c r="C7" s="51"/>
      <c r="D7" s="51"/>
      <c r="E7" s="52" t="str">
        <f>IFERROR(VLOOKUP(D7,【2024年】集团产品与集团产品收入项配置表!$D:$R,9,FALSE),"选择集团产品名称后自动带出")</f>
        <v>选择集团产品名称后自动带出</v>
      </c>
      <c r="F7" s="52" t="str">
        <f>IFERROR(VLOOKUP(D7,【2024年】集团产品与集团产品收入项配置表!$D:$T,16,FALSE),"选择集团产品名称后自动带出")</f>
        <v>选择集团产品名称后自动带出</v>
      </c>
      <c r="G7" s="52"/>
      <c r="H7" s="52" t="str">
        <f>IFERROR(VLOOKUP(D7,【2024年】集团产品与集团产品收入项配置表!$D:$T,17,FALSE),"选择集团产品名称后自动带出")</f>
        <v>选择集团产品名称后自动带出</v>
      </c>
      <c r="I7" s="66"/>
      <c r="J7" s="66" t="str">
        <f>IFERROR(VLOOKUP(D7,【2024年】集团产品与集团产品收入项配置表!$D:$R,10,FALSE),"选择集团产品名称后自动带出")</f>
        <v>选择集团产品名称后自动带出</v>
      </c>
      <c r="K7" s="67"/>
      <c r="L7" s="67"/>
      <c r="M7" s="66" t="str">
        <f>IFERROR(VLOOKUP(D7,【2024年】集团产品与集团产品收入项配置表!$D:$R,14,FALSE),"选择集团产品名称后自动带出")</f>
        <v>选择集团产品名称后自动带出</v>
      </c>
      <c r="N7" s="66" t="str">
        <f>IFERROR(VLOOKUP(D7,【2024年】集团产品与集团产品收入项配置表!$D:$R,15,FALSE),"选择集团产品名称后自动带出")</f>
        <v>选择集团产品名称后自动带出</v>
      </c>
      <c r="O7" s="94">
        <v>4</v>
      </c>
      <c r="P7" s="93"/>
      <c r="Q7" s="93"/>
      <c r="R7" s="102" t="str">
        <f>IFERROR(VLOOKUP(Q7,【2024年】集团产品与集团产品收入项配置表!$D:$R,9,FALSE),"选择集团产品名称后自动带出")</f>
        <v>选择集团产品名称后自动带出</v>
      </c>
      <c r="S7" s="102" t="str">
        <f>IFERROR(VLOOKUP(Q7,【2024年】集团产品与集团产品收入项配置表!$D:$T,16,FALSE),"选择集团产品名称后自动带出")</f>
        <v>选择集团产品名称后自动带出</v>
      </c>
      <c r="T7" s="102"/>
      <c r="U7" s="102" t="str">
        <f>IFERROR(VLOOKUP(Q7,【2024年】集团产品与集团产品收入项配置表!$D:$T,17,FALSE),"选择集团产品名称后自动带出")</f>
        <v>选择集团产品名称后自动带出</v>
      </c>
      <c r="V7" s="116"/>
      <c r="W7" s="117" t="str">
        <f>IFERROR(VLOOKUP(Q7,【2024年】集团产品与集团产品收入项配置表!$D:$R,10,FALSE),"选择集团产品名称后自动带出")</f>
        <v>选择集团产品名称后自动带出</v>
      </c>
      <c r="X7" s="108"/>
      <c r="Y7" s="109"/>
      <c r="Z7" s="108"/>
      <c r="AA7" s="103">
        <f>Y7*Z7*X7</f>
        <v>0</v>
      </c>
      <c r="AB7" s="117" t="str">
        <f>IFERROR(VLOOKUP(Q7,【2024年】集团产品与集团产品收入项配置表!$D:$R,14,FALSE),"选择集团产品名称后自动带出")</f>
        <v>选择集团产品名称后自动带出</v>
      </c>
      <c r="AC7" s="117" t="str">
        <f>IFERROR(VLOOKUP(Q7,【2024年】集团产品与集团产品收入项配置表!$D:$R,15,FALSE),"选择集团产品名称后自动带出")</f>
        <v>选择集团产品名称后自动带出</v>
      </c>
    </row>
    <row r="8" ht="30.75" customHeight="1" spans="1:29">
      <c r="A8" s="53">
        <v>5</v>
      </c>
      <c r="B8" s="54"/>
      <c r="C8" s="51"/>
      <c r="D8" s="51"/>
      <c r="E8" s="52" t="str">
        <f>IFERROR(VLOOKUP(D8,【2024年】集团产品与集团产品收入项配置表!$D:$R,9,FALSE),"选择集团产品名称后自动带出")</f>
        <v>选择集团产品名称后自动带出</v>
      </c>
      <c r="F8" s="52" t="str">
        <f>IFERROR(VLOOKUP(D8,【2024年】集团产品与集团产品收入项配置表!$D:$T,16,FALSE),"选择集团产品名称后自动带出")</f>
        <v>选择集团产品名称后自动带出</v>
      </c>
      <c r="G8" s="52"/>
      <c r="H8" s="52" t="str">
        <f>IFERROR(VLOOKUP(D8,【2024年】集团产品与集团产品收入项配置表!$D:$T,17,FALSE),"选择集团产品名称后自动带出")</f>
        <v>选择集团产品名称后自动带出</v>
      </c>
      <c r="I8" s="66"/>
      <c r="J8" s="66" t="str">
        <f>IFERROR(VLOOKUP(D8,【2024年】集团产品与集团产品收入项配置表!$D:$R,10,FALSE),"选择集团产品名称后自动带出")</f>
        <v>选择集团产品名称后自动带出</v>
      </c>
      <c r="K8" s="67"/>
      <c r="L8" s="67"/>
      <c r="M8" s="66" t="str">
        <f>IFERROR(VLOOKUP(D8,【2024年】集团产品与集团产品收入项配置表!$D:$R,14,FALSE),"选择集团产品名称后自动带出")</f>
        <v>选择集团产品名称后自动带出</v>
      </c>
      <c r="N8" s="66" t="str">
        <f>IFERROR(VLOOKUP(D8,【2024年】集团产品与集团产品收入项配置表!$D:$R,15,FALSE),"选择集团产品名称后自动带出")</f>
        <v>选择集团产品名称后自动带出</v>
      </c>
      <c r="O8" s="94">
        <v>5</v>
      </c>
      <c r="P8" s="93"/>
      <c r="Q8" s="93"/>
      <c r="R8" s="102" t="str">
        <f>IFERROR(VLOOKUP(Q8,【2024年】集团产品与集团产品收入项配置表!$D:$R,9,FALSE),"选择集团产品名称后自动带出")</f>
        <v>选择集团产品名称后自动带出</v>
      </c>
      <c r="S8" s="102" t="str">
        <f>IFERROR(VLOOKUP(Q8,【2024年】集团产品与集团产品收入项配置表!$D:$T,16,FALSE),"选择集团产品名称后自动带出")</f>
        <v>选择集团产品名称后自动带出</v>
      </c>
      <c r="T8" s="102"/>
      <c r="U8" s="102" t="str">
        <f>IFERROR(VLOOKUP(Q8,【2024年】集团产品与集团产品收入项配置表!$D:$T,17,FALSE),"选择集团产品名称后自动带出")</f>
        <v>选择集团产品名称后自动带出</v>
      </c>
      <c r="V8" s="116"/>
      <c r="W8" s="117" t="str">
        <f>IFERROR(VLOOKUP(Q8,【2024年】集团产品与集团产品收入项配置表!$D:$R,10,FALSE),"选择集团产品名称后自动带出")</f>
        <v>选择集团产品名称后自动带出</v>
      </c>
      <c r="X8" s="108"/>
      <c r="Y8" s="109"/>
      <c r="Z8" s="108"/>
      <c r="AA8" s="103">
        <f>Y8*Z8*X8</f>
        <v>0</v>
      </c>
      <c r="AB8" s="117" t="str">
        <f>IFERROR(VLOOKUP(Q8,【2024年】集团产品与集团产品收入项配置表!$D:$R,14,FALSE),"选择集团产品名称后自动带出")</f>
        <v>选择集团产品名称后自动带出</v>
      </c>
      <c r="AC8" s="117" t="str">
        <f>IFERROR(VLOOKUP(Q8,【2024年】集团产品与集团产品收入项配置表!$D:$R,15,FALSE),"选择集团产品名称后自动带出")</f>
        <v>选择集团产品名称后自动带出</v>
      </c>
    </row>
    <row r="9" ht="24.95" customHeight="1" spans="1:29">
      <c r="A9" s="55" t="s">
        <v>31</v>
      </c>
      <c r="B9" s="56"/>
      <c r="C9" s="56"/>
      <c r="D9" s="56"/>
      <c r="E9" s="56"/>
      <c r="F9" s="56"/>
      <c r="G9" s="56"/>
      <c r="H9" s="56"/>
      <c r="I9" s="56"/>
      <c r="J9" s="56"/>
      <c r="K9" s="75">
        <f>SUM(K4:K8)</f>
        <v>0</v>
      </c>
      <c r="L9" s="95"/>
      <c r="M9" s="76"/>
      <c r="N9" s="76"/>
      <c r="O9" s="96" t="s">
        <v>31</v>
      </c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112">
        <f>SUM(AA4:AA8)</f>
        <v>0</v>
      </c>
      <c r="AB9" s="120"/>
      <c r="AC9" s="121"/>
    </row>
    <row r="10" ht="27" customHeight="1"/>
    <row r="11" ht="49.5" customHeight="1" spans="1:11">
      <c r="A11" s="57" t="s">
        <v>32</v>
      </c>
      <c r="B11" s="58"/>
      <c r="C11" s="59" t="s">
        <v>33</v>
      </c>
      <c r="D11" s="58"/>
      <c r="E11" s="59" t="s">
        <v>34</v>
      </c>
      <c r="F11" s="58"/>
      <c r="G11" s="60" t="s">
        <v>35</v>
      </c>
      <c r="H11" s="61" t="s">
        <v>36</v>
      </c>
      <c r="I11" s="82" t="s">
        <v>37</v>
      </c>
      <c r="J11" s="98" t="s">
        <v>38</v>
      </c>
      <c r="K11" s="99"/>
    </row>
    <row r="12" ht="16.5" customHeight="1" spans="1:1">
      <c r="A12" s="62"/>
    </row>
    <row r="13" ht="34.5" customHeight="1" spans="1:15">
      <c r="A13" s="44" t="s">
        <v>39</v>
      </c>
      <c r="B13" s="45" t="s">
        <v>2</v>
      </c>
      <c r="C13" s="45" t="s">
        <v>4</v>
      </c>
      <c r="D13" s="45" t="s">
        <v>2</v>
      </c>
      <c r="E13" s="45" t="s">
        <v>4</v>
      </c>
      <c r="F13" s="63" t="s">
        <v>40</v>
      </c>
      <c r="G13" s="45" t="s">
        <v>2</v>
      </c>
      <c r="H13" s="45" t="s">
        <v>4</v>
      </c>
      <c r="I13" s="88" t="s">
        <v>39</v>
      </c>
      <c r="J13" s="45" t="s">
        <v>2</v>
      </c>
      <c r="K13" s="45" t="s">
        <v>4</v>
      </c>
      <c r="L13" s="45" t="s">
        <v>2</v>
      </c>
      <c r="M13" s="45" t="s">
        <v>2</v>
      </c>
      <c r="N13" s="47" t="s">
        <v>8</v>
      </c>
      <c r="O13" s="45" t="s">
        <v>4</v>
      </c>
    </row>
    <row r="14" ht="49.5" spans="1:15">
      <c r="A14" s="48" t="s">
        <v>41</v>
      </c>
      <c r="B14" s="49" t="s">
        <v>42</v>
      </c>
      <c r="C14" s="49" t="s">
        <v>43</v>
      </c>
      <c r="D14" s="49" t="s">
        <v>44</v>
      </c>
      <c r="E14" s="49" t="s">
        <v>45</v>
      </c>
      <c r="F14" s="49" t="s">
        <v>46</v>
      </c>
      <c r="G14" s="49" t="s">
        <v>47</v>
      </c>
      <c r="H14" s="64" t="s">
        <v>48</v>
      </c>
      <c r="I14" s="90" t="s">
        <v>23</v>
      </c>
      <c r="J14" s="91" t="s">
        <v>49</v>
      </c>
      <c r="K14" s="91" t="s">
        <v>50</v>
      </c>
      <c r="L14" s="91" t="s">
        <v>51</v>
      </c>
      <c r="M14" s="91" t="s">
        <v>52</v>
      </c>
      <c r="N14" s="91" t="s">
        <v>53</v>
      </c>
      <c r="O14" s="100" t="s">
        <v>48</v>
      </c>
    </row>
    <row r="15" ht="24.95" customHeight="1" spans="1:15">
      <c r="A15" s="50">
        <v>1</v>
      </c>
      <c r="B15" s="51"/>
      <c r="C15" s="65"/>
      <c r="D15" s="52"/>
      <c r="E15" s="52"/>
      <c r="F15" s="66"/>
      <c r="G15" s="67"/>
      <c r="H15" s="68"/>
      <c r="I15" s="92">
        <v>1</v>
      </c>
      <c r="J15" s="93"/>
      <c r="K15" s="101"/>
      <c r="L15" s="102"/>
      <c r="M15" s="103"/>
      <c r="N15" s="103">
        <f>L15*M15</f>
        <v>0</v>
      </c>
      <c r="O15" s="104"/>
    </row>
    <row r="16" ht="24.95" customHeight="1" spans="1:15">
      <c r="A16" s="53">
        <v>2</v>
      </c>
      <c r="B16" s="51"/>
      <c r="C16" s="65"/>
      <c r="D16" s="52"/>
      <c r="E16" s="52"/>
      <c r="F16" s="66"/>
      <c r="G16" s="67"/>
      <c r="H16" s="68"/>
      <c r="I16" s="94">
        <v>2</v>
      </c>
      <c r="J16" s="93"/>
      <c r="K16" s="101"/>
      <c r="L16" s="102"/>
      <c r="M16" s="103"/>
      <c r="N16" s="103">
        <f>L16*M16</f>
        <v>0</v>
      </c>
      <c r="O16" s="104"/>
    </row>
    <row r="17" ht="24.95" customHeight="1" spans="1:15">
      <c r="A17" s="53">
        <v>3</v>
      </c>
      <c r="B17" s="51"/>
      <c r="C17" s="65"/>
      <c r="D17" s="52"/>
      <c r="E17" s="52"/>
      <c r="F17" s="66"/>
      <c r="G17" s="67"/>
      <c r="H17" s="68"/>
      <c r="I17" s="94">
        <v>3</v>
      </c>
      <c r="J17" s="93"/>
      <c r="K17" s="101"/>
      <c r="L17" s="102"/>
      <c r="M17" s="103"/>
      <c r="N17" s="103">
        <f>L17*M17</f>
        <v>0</v>
      </c>
      <c r="O17" s="104"/>
    </row>
    <row r="18" ht="24.95" customHeight="1" spans="1:15">
      <c r="A18" s="69">
        <v>4</v>
      </c>
      <c r="B18" s="54"/>
      <c r="C18" s="70"/>
      <c r="D18" s="71"/>
      <c r="E18" s="71"/>
      <c r="F18" s="72"/>
      <c r="G18" s="67"/>
      <c r="H18" s="73"/>
      <c r="I18" s="105">
        <v>4</v>
      </c>
      <c r="J18" s="106"/>
      <c r="K18" s="107"/>
      <c r="L18" s="108"/>
      <c r="M18" s="109"/>
      <c r="N18" s="103">
        <f>L18*M18</f>
        <v>0</v>
      </c>
      <c r="O18" s="110"/>
    </row>
    <row r="19" ht="24.95" customHeight="1" spans="1:15">
      <c r="A19" s="69">
        <v>5</v>
      </c>
      <c r="B19" s="54"/>
      <c r="C19" s="70"/>
      <c r="D19" s="71"/>
      <c r="E19" s="71"/>
      <c r="F19" s="72"/>
      <c r="G19" s="67"/>
      <c r="H19" s="73"/>
      <c r="I19" s="105">
        <v>5</v>
      </c>
      <c r="J19" s="106"/>
      <c r="K19" s="107"/>
      <c r="L19" s="108"/>
      <c r="M19" s="109"/>
      <c r="N19" s="103">
        <f>L19*M19</f>
        <v>0</v>
      </c>
      <c r="O19" s="110"/>
    </row>
    <row r="20" ht="24.95" customHeight="1" spans="1:15">
      <c r="A20" s="55" t="s">
        <v>31</v>
      </c>
      <c r="B20" s="56"/>
      <c r="C20" s="56"/>
      <c r="D20" s="56"/>
      <c r="E20" s="56"/>
      <c r="F20" s="74">
        <f>SUM(F15:F19)</f>
        <v>0</v>
      </c>
      <c r="G20" s="75">
        <f>SUM(G15:G19)</f>
        <v>0</v>
      </c>
      <c r="H20" s="76"/>
      <c r="I20" s="96" t="s">
        <v>31</v>
      </c>
      <c r="J20" s="97"/>
      <c r="K20" s="97"/>
      <c r="L20" s="111"/>
      <c r="M20" s="111"/>
      <c r="N20" s="112">
        <f>SUM(N15:N19)</f>
        <v>0</v>
      </c>
      <c r="O20" s="113"/>
    </row>
    <row r="21" ht="17.25" spans="2:11">
      <c r="B21" s="77"/>
      <c r="C21" s="78"/>
      <c r="D21" s="78"/>
      <c r="E21" s="79"/>
      <c r="F21" s="79"/>
      <c r="G21" s="79"/>
      <c r="H21" s="79"/>
      <c r="I21" s="79"/>
      <c r="J21" s="78"/>
      <c r="K21" s="78"/>
    </row>
    <row r="22" ht="34.5" customHeight="1" spans="1:13">
      <c r="A22" s="80" t="s">
        <v>54</v>
      </c>
      <c r="B22" s="81" t="s">
        <v>55</v>
      </c>
      <c r="C22" s="82" t="s">
        <v>56</v>
      </c>
      <c r="D22" s="122" t="s">
        <v>57</v>
      </c>
      <c r="E22" s="82" t="s">
        <v>58</v>
      </c>
      <c r="F22" s="81" t="s">
        <v>55</v>
      </c>
      <c r="G22" s="82" t="s">
        <v>56</v>
      </c>
      <c r="H22" s="122" t="s">
        <v>57</v>
      </c>
      <c r="M22" s="114"/>
    </row>
    <row r="23" ht="33.75" customHeight="1" spans="6:6">
      <c r="F23" s="83"/>
    </row>
    <row r="25" ht="16.5" spans="1:4">
      <c r="A25" s="84" t="s">
        <v>59</v>
      </c>
      <c r="C25" s="84"/>
      <c r="D25" s="84"/>
    </row>
    <row r="26" ht="18" customHeight="1" spans="1:11">
      <c r="A26" s="84" t="s">
        <v>60</v>
      </c>
      <c r="C26" s="85"/>
      <c r="D26" s="85"/>
      <c r="E26" s="85"/>
      <c r="F26" s="85"/>
      <c r="G26" s="85"/>
      <c r="H26" s="85"/>
      <c r="I26" s="85"/>
      <c r="J26" s="85"/>
      <c r="K26" s="115"/>
    </row>
    <row r="27" ht="18" customHeight="1" spans="1:11">
      <c r="A27" s="84" t="s">
        <v>61</v>
      </c>
      <c r="C27" s="85"/>
      <c r="D27" s="85"/>
      <c r="E27" s="85"/>
      <c r="F27" s="85"/>
      <c r="G27" s="85"/>
      <c r="H27" s="85"/>
      <c r="I27" s="85"/>
      <c r="J27" s="85"/>
      <c r="K27" s="115"/>
    </row>
    <row r="28" ht="18" customHeight="1" spans="1:11">
      <c r="A28" s="86" t="s">
        <v>62</v>
      </c>
      <c r="C28" s="85"/>
      <c r="D28" s="85"/>
      <c r="E28" s="85"/>
      <c r="F28" s="85"/>
      <c r="G28" s="85"/>
      <c r="H28" s="85"/>
      <c r="I28" s="85"/>
      <c r="J28" s="85"/>
      <c r="K28" s="115"/>
    </row>
    <row r="29" ht="16.5" spans="1:1">
      <c r="A29" s="86" t="s">
        <v>63</v>
      </c>
    </row>
    <row r="30" ht="16.5" spans="1:1">
      <c r="A30" s="86" t="s">
        <v>64</v>
      </c>
    </row>
    <row r="31" ht="16.5" spans="1:1">
      <c r="A31" s="86" t="s">
        <v>65</v>
      </c>
    </row>
    <row r="32" ht="16.5" spans="1:1">
      <c r="A32" s="86" t="s">
        <v>66</v>
      </c>
    </row>
    <row r="33" ht="16.5" spans="1:1">
      <c r="A33" s="86" t="s">
        <v>67</v>
      </c>
    </row>
    <row r="34" ht="16.5" spans="1:4">
      <c r="A34" s="86" t="s">
        <v>68</v>
      </c>
      <c r="B34" s="86"/>
      <c r="C34" s="86"/>
      <c r="D34" s="86"/>
    </row>
  </sheetData>
  <sheetProtection selectLockedCells="1" insertRows="0" deleteRows="0"/>
  <mergeCells count="1">
    <mergeCell ref="A1:T1"/>
  </mergeCells>
  <conditionalFormatting sqref="G4:G8">
    <cfRule type="expression" dxfId="0" priority="7">
      <formula>AND(F4="无需填写速率/带宽")</formula>
    </cfRule>
    <cfRule type="expression" dxfId="1" priority="8">
      <formula>AND(F4="需填写速率/带宽")</formula>
    </cfRule>
  </conditionalFormatting>
  <conditionalFormatting sqref="I4:I8">
    <cfRule type="expression" dxfId="2" priority="5">
      <formula>AND(H4="无需填写折扣率")</formula>
    </cfRule>
    <cfRule type="expression" dxfId="1" priority="6">
      <formula>AND(H4="需填写折扣率")</formula>
    </cfRule>
  </conditionalFormatting>
  <conditionalFormatting sqref="T4:T8">
    <cfRule type="expression" dxfId="1" priority="3">
      <formula>AND(S4="需填写速率/带宽")</formula>
    </cfRule>
    <cfRule type="expression" dxfId="2" priority="4">
      <formula>AND(S4="无需填写速率/带宽")</formula>
    </cfRule>
  </conditionalFormatting>
  <conditionalFormatting sqref="V4:V8">
    <cfRule type="expression" dxfId="1" priority="1">
      <formula>AND(U4="需填写折扣率")</formula>
    </cfRule>
    <cfRule type="expression" dxfId="2" priority="2">
      <formula>AND(U4="无需填写折扣率")</formula>
    </cfRule>
  </conditionalFormatting>
  <dataValidations count="11">
    <dataValidation type="list" allowBlank="1" showInputMessage="1" showErrorMessage="1" sqref="H11">
      <formula1>"增值税普通发票,增值税专用发票"</formula1>
    </dataValidation>
    <dataValidation type="list" allowBlank="1" showInputMessage="1" showErrorMessage="1" sqref="B11 D11 F11">
      <formula1>"是,否"</formula1>
    </dataValidation>
    <dataValidation type="list" allowBlank="1" showInputMessage="1" showErrorMessage="1" sqref="J11">
      <formula1>'税率配置表&amp;利润中心'!$G$2:$G$65</formula1>
    </dataValidation>
    <dataValidation type="list" allowBlank="1" showInputMessage="1" showErrorMessage="1" sqref="D4:D8 Q4:Q8">
      <formula1>【2024年】集团产品与集团产品收入项配置表!$D$2:$D$263</formula1>
    </dataValidation>
    <dataValidation type="list" allowBlank="1" showInputMessage="1" showErrorMessage="1" promptTitle="服务收入分成-两方,服务收入分成-三方,设备受托代销,设备代购" sqref="C4:C8">
      <formula1>"收入分成-两方,收入分成-三方,设备受托代销,设备代购,设备销售,设备转租"</formula1>
    </dataValidation>
    <dataValidation type="list" allowBlank="1" showInputMessage="1" showErrorMessage="1" sqref="C15:C19">
      <formula1>"按比例收款,按金额收款"</formula1>
    </dataValidation>
    <dataValidation type="list" allowBlank="1" showInputMessage="1" showErrorMessage="1" sqref="E15:E19">
      <formula1>"初验款,终验款,尾款,到货款,质保款,进度款,预付款,服务款,合同款,首次维护款,维护尾款,审计款,决算款,结算款,施工进度款,试运行款,设计款,设计会审后付款,安全生产费,工程实施进度款,验收款,代理款,运输款,检测款,保修款,首付款,测试款,其他"</formula1>
    </dataValidation>
    <dataValidation type="list" allowBlank="1" showInputMessage="1" showErrorMessage="1" sqref="H15:H19 O15:O19">
      <formula1>"非计费系统,计费系统"</formula1>
    </dataValidation>
    <dataValidation type="list" allowBlank="1" showInputMessage="1" showErrorMessage="1" sqref="K15:K19">
      <formula1>"月,季,半年,年"</formula1>
    </dataValidation>
    <dataValidation type="custom" allowBlank="1" showInputMessage="1" showErrorMessage="1" errorTitle="不能输入数字" sqref="L4:L5">
      <formula1>ISTEXT(L4:L8)</formula1>
    </dataValidation>
    <dataValidation type="custom" allowBlank="1" showInputMessage="1" showErrorMessage="1" errorTitle="不能输入数字" sqref="L6:L8">
      <formula1>ISTEXT(K6:K10)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599"/>
  <sheetViews>
    <sheetView workbookViewId="0">
      <pane xSplit="4" ySplit="1" topLeftCell="K138" activePane="bottomRight" state="frozen"/>
      <selection/>
      <selection pane="topRight"/>
      <selection pane="bottomLeft"/>
      <selection pane="bottomRight" activeCell="N208" sqref="N208"/>
    </sheetView>
  </sheetViews>
  <sheetFormatPr defaultColWidth="9" defaultRowHeight="13.5"/>
  <cols>
    <col min="1" max="1" width="13.875" style="14" customWidth="1"/>
    <col min="2" max="2" width="9" style="16"/>
    <col min="3" max="3" width="12.125" style="16" customWidth="1"/>
    <col min="4" max="4" width="36.75" style="16" customWidth="1"/>
    <col min="5" max="7" width="9" style="14"/>
    <col min="8" max="10" width="9" style="16"/>
    <col min="11" max="11" width="19" style="16" customWidth="1"/>
    <col min="12" max="12" width="15.75" style="14" customWidth="1"/>
    <col min="13" max="13" width="9.5" style="17" customWidth="1"/>
    <col min="14" max="14" width="40.375" style="17" customWidth="1"/>
    <col min="15" max="15" width="16.75" style="14" customWidth="1"/>
    <col min="16" max="16" width="29.75" style="14" customWidth="1"/>
    <col min="17" max="17" width="8.875" style="14" customWidth="1"/>
    <col min="18" max="18" width="10.25" style="14" customWidth="1"/>
    <col min="19" max="19" width="14.625" style="18" customWidth="1"/>
    <col min="20" max="20" width="13.25" style="16" customWidth="1"/>
    <col min="21" max="21" width="9" style="16"/>
    <col min="22" max="22" width="27.375" style="16" customWidth="1"/>
    <col min="23" max="16384" width="9" style="16"/>
  </cols>
  <sheetData>
    <row r="1" s="14" customFormat="1" ht="30" spans="1:22">
      <c r="A1" s="19" t="s">
        <v>69</v>
      </c>
      <c r="B1" s="19" t="s">
        <v>70</v>
      </c>
      <c r="C1" s="19" t="s">
        <v>71</v>
      </c>
      <c r="D1" s="20" t="s">
        <v>72</v>
      </c>
      <c r="E1" s="6" t="s">
        <v>73</v>
      </c>
      <c r="F1" s="6" t="s">
        <v>74</v>
      </c>
      <c r="G1" s="6" t="s">
        <v>75</v>
      </c>
      <c r="H1" s="6" t="s">
        <v>76</v>
      </c>
      <c r="I1" s="6" t="s">
        <v>77</v>
      </c>
      <c r="J1" s="6" t="s">
        <v>78</v>
      </c>
      <c r="K1" s="6" t="s">
        <v>79</v>
      </c>
      <c r="L1" s="6" t="s">
        <v>80</v>
      </c>
      <c r="M1" s="25" t="s">
        <v>18</v>
      </c>
      <c r="N1" s="26" t="s">
        <v>81</v>
      </c>
      <c r="O1" s="6" t="s">
        <v>82</v>
      </c>
      <c r="P1" s="26" t="s">
        <v>83</v>
      </c>
      <c r="Q1" s="6" t="s">
        <v>84</v>
      </c>
      <c r="R1" s="6" t="s">
        <v>85</v>
      </c>
      <c r="S1" s="6" t="s">
        <v>86</v>
      </c>
      <c r="T1" s="6" t="s">
        <v>87</v>
      </c>
      <c r="U1" s="6" t="s">
        <v>88</v>
      </c>
      <c r="V1" s="6" t="s">
        <v>89</v>
      </c>
    </row>
    <row r="2" ht="14.25" spans="1:22">
      <c r="A2" s="21" t="s">
        <v>90</v>
      </c>
      <c r="B2" s="21" t="s">
        <v>91</v>
      </c>
      <c r="C2" s="22" t="s">
        <v>92</v>
      </c>
      <c r="D2" s="23" t="s">
        <v>93</v>
      </c>
      <c r="E2" s="21" t="s">
        <v>94</v>
      </c>
      <c r="F2" s="24" t="s">
        <v>95</v>
      </c>
      <c r="G2" s="22" t="s">
        <v>96</v>
      </c>
      <c r="H2" s="22" t="s">
        <v>97</v>
      </c>
      <c r="I2" s="22" t="s">
        <v>98</v>
      </c>
      <c r="J2" s="22"/>
      <c r="K2" s="24" t="s">
        <v>99</v>
      </c>
      <c r="L2" s="27">
        <v>1563</v>
      </c>
      <c r="M2" s="28">
        <v>0.09</v>
      </c>
      <c r="N2" s="29" t="s">
        <v>100</v>
      </c>
      <c r="O2" s="30" t="s">
        <v>101</v>
      </c>
      <c r="P2" s="29" t="s">
        <v>102</v>
      </c>
      <c r="Q2" s="22" t="s">
        <v>103</v>
      </c>
      <c r="R2" s="22" t="s">
        <v>103</v>
      </c>
      <c r="S2" s="22" t="s">
        <v>104</v>
      </c>
      <c r="T2" s="22" t="s">
        <v>105</v>
      </c>
      <c r="U2" s="31"/>
      <c r="V2" s="24"/>
    </row>
    <row r="3" ht="42.75" spans="1:22">
      <c r="A3" s="21" t="s">
        <v>106</v>
      </c>
      <c r="B3" s="21" t="s">
        <v>107</v>
      </c>
      <c r="C3" s="22" t="s">
        <v>108</v>
      </c>
      <c r="D3" s="23" t="s">
        <v>109</v>
      </c>
      <c r="E3" s="21" t="s">
        <v>94</v>
      </c>
      <c r="F3" s="24" t="s">
        <v>95</v>
      </c>
      <c r="G3" s="22" t="s">
        <v>96</v>
      </c>
      <c r="H3" s="22" t="s">
        <v>97</v>
      </c>
      <c r="I3" s="22" t="s">
        <v>110</v>
      </c>
      <c r="J3" s="22"/>
      <c r="K3" s="24" t="s">
        <v>99</v>
      </c>
      <c r="L3" s="27">
        <v>1320</v>
      </c>
      <c r="M3" s="28">
        <v>0.06</v>
      </c>
      <c r="N3" s="29" t="s">
        <v>111</v>
      </c>
      <c r="O3" s="30" t="s">
        <v>112</v>
      </c>
      <c r="P3" s="29" t="s">
        <v>113</v>
      </c>
      <c r="Q3" s="22" t="s">
        <v>103</v>
      </c>
      <c r="R3" s="22" t="s">
        <v>103</v>
      </c>
      <c r="S3" s="22" t="s">
        <v>104</v>
      </c>
      <c r="T3" s="22" t="s">
        <v>105</v>
      </c>
      <c r="U3" s="31"/>
      <c r="V3" s="24" t="s">
        <v>114</v>
      </c>
    </row>
    <row r="4" ht="42.75" spans="1:22">
      <c r="A4" s="21" t="s">
        <v>106</v>
      </c>
      <c r="B4" s="21" t="s">
        <v>107</v>
      </c>
      <c r="C4" s="22" t="s">
        <v>115</v>
      </c>
      <c r="D4" s="23" t="s">
        <v>116</v>
      </c>
      <c r="E4" s="21" t="s">
        <v>94</v>
      </c>
      <c r="F4" s="24" t="s">
        <v>95</v>
      </c>
      <c r="G4" s="22" t="s">
        <v>96</v>
      </c>
      <c r="H4" s="22" t="s">
        <v>97</v>
      </c>
      <c r="I4" s="22" t="s">
        <v>110</v>
      </c>
      <c r="J4" s="22"/>
      <c r="K4" s="24" t="s">
        <v>99</v>
      </c>
      <c r="L4" s="27">
        <v>1320</v>
      </c>
      <c r="M4" s="28">
        <v>0.06</v>
      </c>
      <c r="N4" s="29" t="s">
        <v>111</v>
      </c>
      <c r="O4" s="30" t="s">
        <v>112</v>
      </c>
      <c r="P4" s="29" t="s">
        <v>113</v>
      </c>
      <c r="Q4" s="22" t="s">
        <v>103</v>
      </c>
      <c r="R4" s="22" t="s">
        <v>103</v>
      </c>
      <c r="S4" s="22" t="s">
        <v>104</v>
      </c>
      <c r="T4" s="22" t="s">
        <v>105</v>
      </c>
      <c r="U4" s="31"/>
      <c r="V4" s="24" t="s">
        <v>114</v>
      </c>
    </row>
    <row r="5" ht="14.25" spans="1:22">
      <c r="A5" s="21" t="s">
        <v>106</v>
      </c>
      <c r="B5" s="21" t="s">
        <v>107</v>
      </c>
      <c r="C5" s="22" t="s">
        <v>117</v>
      </c>
      <c r="D5" s="23" t="s">
        <v>118</v>
      </c>
      <c r="E5" s="21" t="s">
        <v>94</v>
      </c>
      <c r="F5" s="24" t="s">
        <v>95</v>
      </c>
      <c r="G5" s="22" t="s">
        <v>96</v>
      </c>
      <c r="H5" s="22" t="s">
        <v>97</v>
      </c>
      <c r="I5" s="22" t="s">
        <v>110</v>
      </c>
      <c r="J5" s="22"/>
      <c r="K5" s="24" t="s">
        <v>99</v>
      </c>
      <c r="L5" s="27">
        <v>1331</v>
      </c>
      <c r="M5" s="28">
        <v>0.06</v>
      </c>
      <c r="N5" s="29" t="s">
        <v>119</v>
      </c>
      <c r="O5" s="30">
        <v>1331</v>
      </c>
      <c r="P5" s="29" t="s">
        <v>119</v>
      </c>
      <c r="Q5" s="22" t="s">
        <v>103</v>
      </c>
      <c r="R5" s="22" t="s">
        <v>103</v>
      </c>
      <c r="S5" s="22" t="s">
        <v>104</v>
      </c>
      <c r="T5" s="22" t="s">
        <v>105</v>
      </c>
      <c r="U5" s="31"/>
      <c r="V5" s="24"/>
    </row>
    <row r="6" ht="14.25" spans="1:22">
      <c r="A6" s="21" t="s">
        <v>106</v>
      </c>
      <c r="B6" s="21" t="s">
        <v>107</v>
      </c>
      <c r="C6" s="22" t="s">
        <v>120</v>
      </c>
      <c r="D6" s="23" t="s">
        <v>121</v>
      </c>
      <c r="E6" s="21" t="s">
        <v>94</v>
      </c>
      <c r="F6" s="24" t="s">
        <v>95</v>
      </c>
      <c r="G6" s="22" t="s">
        <v>96</v>
      </c>
      <c r="H6" s="22" t="s">
        <v>97</v>
      </c>
      <c r="I6" s="22" t="s">
        <v>110</v>
      </c>
      <c r="J6" s="22"/>
      <c r="K6" s="24" t="s">
        <v>99</v>
      </c>
      <c r="L6" s="27">
        <v>1331</v>
      </c>
      <c r="M6" s="28">
        <v>0.06</v>
      </c>
      <c r="N6" s="29" t="s">
        <v>119</v>
      </c>
      <c r="O6" s="30">
        <v>1331</v>
      </c>
      <c r="P6" s="29" t="s">
        <v>119</v>
      </c>
      <c r="Q6" s="22" t="s">
        <v>103</v>
      </c>
      <c r="R6" s="22" t="s">
        <v>103</v>
      </c>
      <c r="S6" s="22" t="s">
        <v>104</v>
      </c>
      <c r="T6" s="22" t="s">
        <v>105</v>
      </c>
      <c r="U6" s="31"/>
      <c r="V6" s="24"/>
    </row>
    <row r="7" ht="14.25" spans="1:22">
      <c r="A7" s="21" t="s">
        <v>90</v>
      </c>
      <c r="B7" s="21" t="s">
        <v>91</v>
      </c>
      <c r="C7" s="22" t="s">
        <v>122</v>
      </c>
      <c r="D7" s="23" t="s">
        <v>123</v>
      </c>
      <c r="E7" s="21" t="s">
        <v>94</v>
      </c>
      <c r="F7" s="24" t="s">
        <v>95</v>
      </c>
      <c r="G7" s="22" t="s">
        <v>96</v>
      </c>
      <c r="H7" s="22" t="s">
        <v>97</v>
      </c>
      <c r="I7" s="22" t="s">
        <v>98</v>
      </c>
      <c r="J7" s="22"/>
      <c r="K7" s="24" t="s">
        <v>124</v>
      </c>
      <c r="L7" s="27">
        <v>1551</v>
      </c>
      <c r="M7" s="28">
        <v>0.09</v>
      </c>
      <c r="N7" s="29" t="s">
        <v>125</v>
      </c>
      <c r="O7" s="30">
        <v>1551</v>
      </c>
      <c r="P7" s="29" t="s">
        <v>125</v>
      </c>
      <c r="Q7" s="22" t="s">
        <v>103</v>
      </c>
      <c r="R7" s="22" t="s">
        <v>103</v>
      </c>
      <c r="S7" s="22" t="s">
        <v>104</v>
      </c>
      <c r="T7" s="22" t="s">
        <v>105</v>
      </c>
      <c r="U7" s="31"/>
      <c r="V7" s="24"/>
    </row>
    <row r="8" ht="14.25" spans="1:22">
      <c r="A8" s="21" t="s">
        <v>90</v>
      </c>
      <c r="B8" s="21" t="s">
        <v>91</v>
      </c>
      <c r="C8" s="22" t="s">
        <v>126</v>
      </c>
      <c r="D8" s="23" t="s">
        <v>127</v>
      </c>
      <c r="E8" s="21" t="s">
        <v>94</v>
      </c>
      <c r="F8" s="24" t="s">
        <v>95</v>
      </c>
      <c r="G8" s="22" t="s">
        <v>96</v>
      </c>
      <c r="H8" s="22" t="s">
        <v>97</v>
      </c>
      <c r="I8" s="22" t="s">
        <v>98</v>
      </c>
      <c r="J8" s="22"/>
      <c r="K8" s="24" t="s">
        <v>128</v>
      </c>
      <c r="L8" s="27">
        <v>1551</v>
      </c>
      <c r="M8" s="28">
        <v>0.09</v>
      </c>
      <c r="N8" s="29" t="s">
        <v>125</v>
      </c>
      <c r="O8" s="30">
        <v>1551</v>
      </c>
      <c r="P8" s="29" t="s">
        <v>125</v>
      </c>
      <c r="Q8" s="22" t="s">
        <v>103</v>
      </c>
      <c r="R8" s="22" t="s">
        <v>103</v>
      </c>
      <c r="S8" s="22" t="s">
        <v>104</v>
      </c>
      <c r="T8" s="22" t="s">
        <v>105</v>
      </c>
      <c r="U8" s="31"/>
      <c r="V8" s="24"/>
    </row>
    <row r="9" ht="14.25" spans="1:22">
      <c r="A9" s="21" t="s">
        <v>90</v>
      </c>
      <c r="B9" s="21" t="s">
        <v>91</v>
      </c>
      <c r="C9" s="22" t="s">
        <v>129</v>
      </c>
      <c r="D9" s="23" t="s">
        <v>130</v>
      </c>
      <c r="E9" s="21" t="s">
        <v>94</v>
      </c>
      <c r="F9" s="24" t="s">
        <v>95</v>
      </c>
      <c r="G9" s="22" t="s">
        <v>96</v>
      </c>
      <c r="H9" s="22" t="s">
        <v>97</v>
      </c>
      <c r="I9" s="22" t="s">
        <v>98</v>
      </c>
      <c r="J9" s="22"/>
      <c r="K9" s="24" t="s">
        <v>131</v>
      </c>
      <c r="L9" s="27">
        <v>1550</v>
      </c>
      <c r="M9" s="28">
        <v>0.09</v>
      </c>
      <c r="N9" s="29" t="s">
        <v>132</v>
      </c>
      <c r="O9" s="30">
        <v>1550</v>
      </c>
      <c r="P9" s="29" t="s">
        <v>132</v>
      </c>
      <c r="Q9" s="22" t="s">
        <v>103</v>
      </c>
      <c r="R9" s="22" t="s">
        <v>103</v>
      </c>
      <c r="S9" s="22" t="s">
        <v>104</v>
      </c>
      <c r="T9" s="22" t="s">
        <v>105</v>
      </c>
      <c r="U9" s="31"/>
      <c r="V9" s="24"/>
    </row>
    <row r="10" ht="14.25" spans="1:22">
      <c r="A10" s="21" t="s">
        <v>90</v>
      </c>
      <c r="B10" s="21" t="s">
        <v>91</v>
      </c>
      <c r="C10" s="22" t="s">
        <v>133</v>
      </c>
      <c r="D10" s="23" t="s">
        <v>134</v>
      </c>
      <c r="E10" s="21" t="s">
        <v>94</v>
      </c>
      <c r="F10" s="24" t="s">
        <v>95</v>
      </c>
      <c r="G10" s="22" t="s">
        <v>96</v>
      </c>
      <c r="H10" s="22" t="s">
        <v>97</v>
      </c>
      <c r="I10" s="22" t="s">
        <v>98</v>
      </c>
      <c r="J10" s="22"/>
      <c r="K10" s="24" t="s">
        <v>124</v>
      </c>
      <c r="L10" s="27">
        <v>1551</v>
      </c>
      <c r="M10" s="28">
        <v>0.09</v>
      </c>
      <c r="N10" s="29" t="s">
        <v>125</v>
      </c>
      <c r="O10" s="30">
        <v>1551</v>
      </c>
      <c r="P10" s="29" t="s">
        <v>125</v>
      </c>
      <c r="Q10" s="22" t="s">
        <v>103</v>
      </c>
      <c r="R10" s="22" t="s">
        <v>103</v>
      </c>
      <c r="S10" s="22" t="s">
        <v>104</v>
      </c>
      <c r="T10" s="22" t="s">
        <v>105</v>
      </c>
      <c r="U10" s="31"/>
      <c r="V10" s="24"/>
    </row>
    <row r="11" ht="14.25" spans="1:22">
      <c r="A11" s="21" t="s">
        <v>90</v>
      </c>
      <c r="B11" s="21" t="s">
        <v>91</v>
      </c>
      <c r="C11" s="22" t="s">
        <v>135</v>
      </c>
      <c r="D11" s="23" t="s">
        <v>136</v>
      </c>
      <c r="E11" s="21" t="s">
        <v>94</v>
      </c>
      <c r="F11" s="24" t="s">
        <v>95</v>
      </c>
      <c r="G11" s="22" t="s">
        <v>96</v>
      </c>
      <c r="H11" s="22" t="s">
        <v>97</v>
      </c>
      <c r="I11" s="22" t="s">
        <v>98</v>
      </c>
      <c r="J11" s="22"/>
      <c r="K11" s="24" t="s">
        <v>128</v>
      </c>
      <c r="L11" s="27">
        <v>1551</v>
      </c>
      <c r="M11" s="28">
        <v>0.09</v>
      </c>
      <c r="N11" s="29" t="s">
        <v>125</v>
      </c>
      <c r="O11" s="30">
        <v>1551</v>
      </c>
      <c r="P11" s="29" t="s">
        <v>125</v>
      </c>
      <c r="Q11" s="22" t="s">
        <v>103</v>
      </c>
      <c r="R11" s="22" t="s">
        <v>103</v>
      </c>
      <c r="S11" s="22" t="s">
        <v>104</v>
      </c>
      <c r="T11" s="22" t="s">
        <v>105</v>
      </c>
      <c r="U11" s="31"/>
      <c r="V11" s="24"/>
    </row>
    <row r="12" ht="14.25" spans="1:22">
      <c r="A12" s="21" t="s">
        <v>90</v>
      </c>
      <c r="B12" s="21" t="s">
        <v>91</v>
      </c>
      <c r="C12" s="22" t="s">
        <v>137</v>
      </c>
      <c r="D12" s="23" t="s">
        <v>138</v>
      </c>
      <c r="E12" s="21" t="s">
        <v>94</v>
      </c>
      <c r="F12" s="24" t="s">
        <v>95</v>
      </c>
      <c r="G12" s="22" t="s">
        <v>96</v>
      </c>
      <c r="H12" s="22" t="s">
        <v>97</v>
      </c>
      <c r="I12" s="22" t="s">
        <v>98</v>
      </c>
      <c r="J12" s="22"/>
      <c r="K12" s="24" t="s">
        <v>131</v>
      </c>
      <c r="L12" s="27">
        <v>1550</v>
      </c>
      <c r="M12" s="28">
        <v>0.09</v>
      </c>
      <c r="N12" s="29" t="s">
        <v>132</v>
      </c>
      <c r="O12" s="30">
        <v>1550</v>
      </c>
      <c r="P12" s="29" t="s">
        <v>132</v>
      </c>
      <c r="Q12" s="22" t="s">
        <v>103</v>
      </c>
      <c r="R12" s="22" t="s">
        <v>103</v>
      </c>
      <c r="S12" s="22" t="s">
        <v>104</v>
      </c>
      <c r="T12" s="22" t="s">
        <v>105</v>
      </c>
      <c r="U12" s="31"/>
      <c r="V12" s="24"/>
    </row>
    <row r="13" ht="14.25" spans="1:22">
      <c r="A13" s="21" t="s">
        <v>90</v>
      </c>
      <c r="B13" s="21" t="s">
        <v>91</v>
      </c>
      <c r="C13" s="22" t="s">
        <v>139</v>
      </c>
      <c r="D13" s="23" t="s">
        <v>140</v>
      </c>
      <c r="E13" s="21" t="s">
        <v>94</v>
      </c>
      <c r="F13" s="24" t="s">
        <v>95</v>
      </c>
      <c r="G13" s="22" t="s">
        <v>96</v>
      </c>
      <c r="H13" s="22" t="s">
        <v>97</v>
      </c>
      <c r="I13" s="22" t="s">
        <v>98</v>
      </c>
      <c r="J13" s="22"/>
      <c r="K13" s="24" t="s">
        <v>141</v>
      </c>
      <c r="L13" s="27">
        <v>1551</v>
      </c>
      <c r="M13" s="28">
        <v>0.09</v>
      </c>
      <c r="N13" s="29" t="s">
        <v>125</v>
      </c>
      <c r="O13" s="30">
        <v>1551</v>
      </c>
      <c r="P13" s="29" t="s">
        <v>125</v>
      </c>
      <c r="Q13" s="22" t="s">
        <v>103</v>
      </c>
      <c r="R13" s="22" t="s">
        <v>103</v>
      </c>
      <c r="S13" s="22" t="s">
        <v>104</v>
      </c>
      <c r="T13" s="22" t="s">
        <v>105</v>
      </c>
      <c r="U13" s="31"/>
      <c r="V13" s="24"/>
    </row>
    <row r="14" ht="14.25" spans="1:22">
      <c r="A14" s="21" t="s">
        <v>90</v>
      </c>
      <c r="B14" s="21" t="s">
        <v>91</v>
      </c>
      <c r="C14" s="22" t="s">
        <v>142</v>
      </c>
      <c r="D14" s="23" t="s">
        <v>143</v>
      </c>
      <c r="E14" s="21" t="s">
        <v>94</v>
      </c>
      <c r="F14" s="24" t="s">
        <v>95</v>
      </c>
      <c r="G14" s="22" t="s">
        <v>96</v>
      </c>
      <c r="H14" s="22" t="s">
        <v>97</v>
      </c>
      <c r="I14" s="22" t="s">
        <v>98</v>
      </c>
      <c r="J14" s="22"/>
      <c r="K14" s="24" t="s">
        <v>144</v>
      </c>
      <c r="L14" s="27">
        <v>1550</v>
      </c>
      <c r="M14" s="28">
        <v>0.09</v>
      </c>
      <c r="N14" s="29" t="s">
        <v>132</v>
      </c>
      <c r="O14" s="30">
        <v>1550</v>
      </c>
      <c r="P14" s="29" t="s">
        <v>132</v>
      </c>
      <c r="Q14" s="22" t="s">
        <v>103</v>
      </c>
      <c r="R14" s="22" t="s">
        <v>103</v>
      </c>
      <c r="S14" s="22" t="s">
        <v>104</v>
      </c>
      <c r="T14" s="22" t="s">
        <v>105</v>
      </c>
      <c r="U14" s="31"/>
      <c r="V14" s="24"/>
    </row>
    <row r="15" ht="14.25" spans="1:22">
      <c r="A15" s="21" t="s">
        <v>145</v>
      </c>
      <c r="B15" s="21" t="s">
        <v>146</v>
      </c>
      <c r="C15" s="22" t="s">
        <v>147</v>
      </c>
      <c r="D15" s="23" t="s">
        <v>148</v>
      </c>
      <c r="E15" s="21" t="s">
        <v>94</v>
      </c>
      <c r="F15" s="24" t="s">
        <v>149</v>
      </c>
      <c r="G15" s="22" t="s">
        <v>150</v>
      </c>
      <c r="H15" s="22" t="s">
        <v>97</v>
      </c>
      <c r="I15" s="22" t="s">
        <v>110</v>
      </c>
      <c r="J15" s="22"/>
      <c r="K15" s="24"/>
      <c r="L15" s="27">
        <v>1005</v>
      </c>
      <c r="M15" s="28">
        <v>0.06</v>
      </c>
      <c r="N15" s="29" t="s">
        <v>151</v>
      </c>
      <c r="O15" s="30">
        <v>1005</v>
      </c>
      <c r="P15" s="29" t="s">
        <v>151</v>
      </c>
      <c r="Q15" s="22" t="s">
        <v>103</v>
      </c>
      <c r="R15" s="22" t="s">
        <v>103</v>
      </c>
      <c r="S15" s="22" t="s">
        <v>152</v>
      </c>
      <c r="T15" s="22" t="s">
        <v>105</v>
      </c>
      <c r="U15" s="31"/>
      <c r="V15" s="24"/>
    </row>
    <row r="16" ht="14.25" spans="1:22">
      <c r="A16" s="21" t="s">
        <v>153</v>
      </c>
      <c r="B16" s="21" t="s">
        <v>154</v>
      </c>
      <c r="C16" s="22" t="s">
        <v>155</v>
      </c>
      <c r="D16" s="23" t="s">
        <v>156</v>
      </c>
      <c r="E16" s="21" t="s">
        <v>94</v>
      </c>
      <c r="F16" s="24" t="s">
        <v>149</v>
      </c>
      <c r="G16" s="22" t="s">
        <v>150</v>
      </c>
      <c r="H16" s="22" t="s">
        <v>157</v>
      </c>
      <c r="I16" s="22" t="s">
        <v>157</v>
      </c>
      <c r="J16" s="22"/>
      <c r="K16" s="24"/>
      <c r="L16" s="27">
        <v>1714</v>
      </c>
      <c r="M16" s="28">
        <v>0.09</v>
      </c>
      <c r="N16" s="29" t="s">
        <v>158</v>
      </c>
      <c r="O16" s="30">
        <v>1714</v>
      </c>
      <c r="P16" s="29" t="s">
        <v>158</v>
      </c>
      <c r="Q16" s="22" t="s">
        <v>103</v>
      </c>
      <c r="R16" s="22" t="s">
        <v>103</v>
      </c>
      <c r="S16" s="22" t="s">
        <v>152</v>
      </c>
      <c r="T16" s="22" t="s">
        <v>105</v>
      </c>
      <c r="U16" s="31"/>
      <c r="V16" s="24"/>
    </row>
    <row r="17" ht="14.25" spans="1:22">
      <c r="A17" s="21" t="s">
        <v>153</v>
      </c>
      <c r="B17" s="21" t="s">
        <v>154</v>
      </c>
      <c r="C17" s="22" t="s">
        <v>159</v>
      </c>
      <c r="D17" s="23" t="s">
        <v>160</v>
      </c>
      <c r="E17" s="21" t="s">
        <v>94</v>
      </c>
      <c r="F17" s="24" t="s">
        <v>149</v>
      </c>
      <c r="G17" s="22" t="s">
        <v>150</v>
      </c>
      <c r="H17" s="22" t="s">
        <v>157</v>
      </c>
      <c r="I17" s="22" t="s">
        <v>157</v>
      </c>
      <c r="J17" s="22"/>
      <c r="K17" s="24"/>
      <c r="L17" s="27">
        <v>1716</v>
      </c>
      <c r="M17" s="28">
        <v>0.06</v>
      </c>
      <c r="N17" s="29" t="s">
        <v>161</v>
      </c>
      <c r="O17" s="30">
        <v>1716</v>
      </c>
      <c r="P17" s="29" t="s">
        <v>161</v>
      </c>
      <c r="Q17" s="22" t="s">
        <v>103</v>
      </c>
      <c r="R17" s="22" t="s">
        <v>103</v>
      </c>
      <c r="S17" s="22" t="s">
        <v>152</v>
      </c>
      <c r="T17" s="22" t="s">
        <v>162</v>
      </c>
      <c r="U17" s="31"/>
      <c r="V17" s="24"/>
    </row>
    <row r="18" ht="14.25" spans="1:22">
      <c r="A18" s="21" t="s">
        <v>153</v>
      </c>
      <c r="B18" s="21" t="s">
        <v>154</v>
      </c>
      <c r="C18" s="22" t="s">
        <v>163</v>
      </c>
      <c r="D18" s="23" t="s">
        <v>164</v>
      </c>
      <c r="E18" s="21" t="s">
        <v>94</v>
      </c>
      <c r="F18" s="24" t="s">
        <v>149</v>
      </c>
      <c r="G18" s="22" t="s">
        <v>150</v>
      </c>
      <c r="H18" s="22" t="s">
        <v>157</v>
      </c>
      <c r="I18" s="22" t="s">
        <v>157</v>
      </c>
      <c r="J18" s="22"/>
      <c r="K18" s="24"/>
      <c r="L18" s="27">
        <v>1719</v>
      </c>
      <c r="M18" s="28">
        <v>0.06</v>
      </c>
      <c r="N18" s="29" t="s">
        <v>165</v>
      </c>
      <c r="O18" s="30">
        <v>1719</v>
      </c>
      <c r="P18" s="29" t="s">
        <v>165</v>
      </c>
      <c r="Q18" s="22" t="s">
        <v>103</v>
      </c>
      <c r="R18" s="22" t="s">
        <v>103</v>
      </c>
      <c r="S18" s="22" t="s">
        <v>152</v>
      </c>
      <c r="T18" s="22" t="s">
        <v>105</v>
      </c>
      <c r="U18" s="31"/>
      <c r="V18" s="24"/>
    </row>
    <row r="19" ht="14.25" spans="1:22">
      <c r="A19" s="21" t="s">
        <v>153</v>
      </c>
      <c r="B19" s="21" t="s">
        <v>154</v>
      </c>
      <c r="C19" s="22" t="s">
        <v>166</v>
      </c>
      <c r="D19" s="23" t="s">
        <v>167</v>
      </c>
      <c r="E19" s="21" t="s">
        <v>94</v>
      </c>
      <c r="F19" s="24" t="s">
        <v>149</v>
      </c>
      <c r="G19" s="22" t="s">
        <v>150</v>
      </c>
      <c r="H19" s="22" t="s">
        <v>157</v>
      </c>
      <c r="I19" s="22" t="s">
        <v>157</v>
      </c>
      <c r="J19" s="22"/>
      <c r="K19" s="24"/>
      <c r="L19" s="27">
        <v>1720</v>
      </c>
      <c r="M19" s="28">
        <v>0.06</v>
      </c>
      <c r="N19" s="29" t="s">
        <v>168</v>
      </c>
      <c r="O19" s="30">
        <v>1720</v>
      </c>
      <c r="P19" s="29" t="s">
        <v>168</v>
      </c>
      <c r="Q19" s="22" t="s">
        <v>103</v>
      </c>
      <c r="R19" s="22" t="s">
        <v>103</v>
      </c>
      <c r="S19" s="22" t="s">
        <v>152</v>
      </c>
      <c r="T19" s="22" t="s">
        <v>105</v>
      </c>
      <c r="U19" s="31"/>
      <c r="V19" s="24"/>
    </row>
    <row r="20" ht="14.25" spans="1:22">
      <c r="A20" s="21" t="s">
        <v>153</v>
      </c>
      <c r="B20" s="21" t="s">
        <v>154</v>
      </c>
      <c r="C20" s="22" t="s">
        <v>169</v>
      </c>
      <c r="D20" s="23" t="s">
        <v>170</v>
      </c>
      <c r="E20" s="21" t="s">
        <v>94</v>
      </c>
      <c r="F20" s="24" t="s">
        <v>149</v>
      </c>
      <c r="G20" s="22" t="s">
        <v>150</v>
      </c>
      <c r="H20" s="22" t="s">
        <v>157</v>
      </c>
      <c r="I20" s="22" t="s">
        <v>157</v>
      </c>
      <c r="J20" s="22"/>
      <c r="K20" s="24"/>
      <c r="L20" s="27">
        <v>2763</v>
      </c>
      <c r="M20" s="28">
        <v>0.06</v>
      </c>
      <c r="N20" s="29" t="s">
        <v>171</v>
      </c>
      <c r="O20" s="30">
        <v>2763</v>
      </c>
      <c r="P20" s="29" t="s">
        <v>171</v>
      </c>
      <c r="Q20" s="22" t="s">
        <v>103</v>
      </c>
      <c r="R20" s="22" t="s">
        <v>103</v>
      </c>
      <c r="S20" s="22" t="s">
        <v>152</v>
      </c>
      <c r="T20" s="22" t="s">
        <v>105</v>
      </c>
      <c r="U20" s="31"/>
      <c r="V20" s="24" t="s">
        <v>172</v>
      </c>
    </row>
    <row r="21" ht="14.25" spans="1:22">
      <c r="A21" s="21" t="s">
        <v>145</v>
      </c>
      <c r="B21" s="21" t="s">
        <v>146</v>
      </c>
      <c r="C21" s="22" t="s">
        <v>173</v>
      </c>
      <c r="D21" s="23" t="s">
        <v>174</v>
      </c>
      <c r="E21" s="21" t="s">
        <v>94</v>
      </c>
      <c r="F21" s="24" t="s">
        <v>95</v>
      </c>
      <c r="G21" s="22" t="s">
        <v>96</v>
      </c>
      <c r="H21" s="22" t="s">
        <v>97</v>
      </c>
      <c r="I21" s="22" t="s">
        <v>110</v>
      </c>
      <c r="J21" s="22"/>
      <c r="K21" s="24" t="s">
        <v>99</v>
      </c>
      <c r="L21" s="27">
        <v>1301</v>
      </c>
      <c r="M21" s="28">
        <v>0.06</v>
      </c>
      <c r="N21" s="29" t="s">
        <v>175</v>
      </c>
      <c r="O21" s="30" t="s">
        <v>176</v>
      </c>
      <c r="P21" s="29" t="s">
        <v>177</v>
      </c>
      <c r="Q21" s="22" t="s">
        <v>103</v>
      </c>
      <c r="R21" s="22" t="s">
        <v>103</v>
      </c>
      <c r="S21" s="22" t="s">
        <v>104</v>
      </c>
      <c r="T21" s="22" t="s">
        <v>105</v>
      </c>
      <c r="U21" s="31"/>
      <c r="V21" s="24"/>
    </row>
    <row r="22" ht="14.25" spans="1:22">
      <c r="A22" s="21" t="s">
        <v>178</v>
      </c>
      <c r="B22" s="21" t="s">
        <v>179</v>
      </c>
      <c r="C22" s="22" t="s">
        <v>180</v>
      </c>
      <c r="D22" s="23" t="s">
        <v>181</v>
      </c>
      <c r="E22" s="21" t="s">
        <v>94</v>
      </c>
      <c r="F22" s="24" t="s">
        <v>182</v>
      </c>
      <c r="G22" s="22" t="s">
        <v>182</v>
      </c>
      <c r="H22" s="22" t="s">
        <v>183</v>
      </c>
      <c r="I22" s="22"/>
      <c r="J22" s="22"/>
      <c r="K22" s="24"/>
      <c r="L22" s="27">
        <v>1763</v>
      </c>
      <c r="M22" s="28" t="s">
        <v>184</v>
      </c>
      <c r="N22" s="29" t="s">
        <v>185</v>
      </c>
      <c r="O22" s="30">
        <v>1763</v>
      </c>
      <c r="P22" s="29" t="s">
        <v>185</v>
      </c>
      <c r="Q22" s="22" t="s">
        <v>94</v>
      </c>
      <c r="R22" s="22" t="s">
        <v>94</v>
      </c>
      <c r="S22" s="22" t="s">
        <v>152</v>
      </c>
      <c r="T22" s="22" t="s">
        <v>105</v>
      </c>
      <c r="U22" s="31"/>
      <c r="V22" s="24"/>
    </row>
    <row r="23" ht="14.25" spans="1:22">
      <c r="A23" s="21" t="s">
        <v>186</v>
      </c>
      <c r="B23" s="21" t="s">
        <v>187</v>
      </c>
      <c r="C23" s="22" t="s">
        <v>188</v>
      </c>
      <c r="D23" s="23" t="s">
        <v>189</v>
      </c>
      <c r="E23" s="21" t="s">
        <v>94</v>
      </c>
      <c r="F23" s="24" t="s">
        <v>149</v>
      </c>
      <c r="G23" s="22" t="s">
        <v>150</v>
      </c>
      <c r="H23" s="22" t="s">
        <v>97</v>
      </c>
      <c r="I23" s="22"/>
      <c r="J23" s="22" t="s">
        <v>190</v>
      </c>
      <c r="K23" s="24" t="s">
        <v>191</v>
      </c>
      <c r="L23" s="27">
        <v>1005</v>
      </c>
      <c r="M23" s="28">
        <v>0.06</v>
      </c>
      <c r="N23" s="29" t="s">
        <v>151</v>
      </c>
      <c r="O23" s="30">
        <v>1005</v>
      </c>
      <c r="P23" s="29" t="s">
        <v>151</v>
      </c>
      <c r="Q23" s="22" t="s">
        <v>103</v>
      </c>
      <c r="R23" s="22" t="s">
        <v>103</v>
      </c>
      <c r="S23" s="22" t="s">
        <v>152</v>
      </c>
      <c r="T23" s="22" t="s">
        <v>105</v>
      </c>
      <c r="U23" s="31"/>
      <c r="V23" s="24"/>
    </row>
    <row r="24" ht="14.25" spans="1:22">
      <c r="A24" s="21" t="s">
        <v>192</v>
      </c>
      <c r="B24" s="21" t="s">
        <v>193</v>
      </c>
      <c r="C24" s="22" t="s">
        <v>194</v>
      </c>
      <c r="D24" s="23" t="s">
        <v>195</v>
      </c>
      <c r="E24" s="21" t="s">
        <v>94</v>
      </c>
      <c r="F24" s="24" t="s">
        <v>149</v>
      </c>
      <c r="G24" s="22" t="s">
        <v>196</v>
      </c>
      <c r="H24" s="22" t="s">
        <v>97</v>
      </c>
      <c r="I24" s="22"/>
      <c r="J24" s="22"/>
      <c r="K24" s="24"/>
      <c r="L24" s="27">
        <v>1289</v>
      </c>
      <c r="M24" s="28">
        <v>0.06</v>
      </c>
      <c r="N24" s="29" t="s">
        <v>197</v>
      </c>
      <c r="O24" s="30">
        <v>1289</v>
      </c>
      <c r="P24" s="29" t="s">
        <v>197</v>
      </c>
      <c r="Q24" s="22" t="s">
        <v>103</v>
      </c>
      <c r="R24" s="22" t="s">
        <v>103</v>
      </c>
      <c r="S24" s="22" t="s">
        <v>152</v>
      </c>
      <c r="T24" s="22" t="s">
        <v>105</v>
      </c>
      <c r="U24" s="31"/>
      <c r="V24" s="24" t="s">
        <v>198</v>
      </c>
    </row>
    <row r="25" ht="14.25" spans="1:22">
      <c r="A25" s="21" t="s">
        <v>199</v>
      </c>
      <c r="B25" s="21" t="s">
        <v>200</v>
      </c>
      <c r="C25" s="22" t="s">
        <v>201</v>
      </c>
      <c r="D25" s="23" t="s">
        <v>202</v>
      </c>
      <c r="E25" s="21" t="s">
        <v>103</v>
      </c>
      <c r="F25" s="24" t="s">
        <v>149</v>
      </c>
      <c r="G25" s="22" t="s">
        <v>196</v>
      </c>
      <c r="H25" s="22" t="s">
        <v>203</v>
      </c>
      <c r="I25" s="22" t="s">
        <v>204</v>
      </c>
      <c r="J25" s="22"/>
      <c r="K25" s="24"/>
      <c r="L25" s="27">
        <v>1637</v>
      </c>
      <c r="M25" s="28">
        <v>0.06</v>
      </c>
      <c r="N25" s="29" t="s">
        <v>205</v>
      </c>
      <c r="O25" s="30">
        <v>1637</v>
      </c>
      <c r="P25" s="29" t="s">
        <v>205</v>
      </c>
      <c r="Q25" s="22" t="s">
        <v>103</v>
      </c>
      <c r="R25" s="22" t="s">
        <v>103</v>
      </c>
      <c r="S25" s="22" t="s">
        <v>152</v>
      </c>
      <c r="T25" s="22" t="s">
        <v>105</v>
      </c>
      <c r="U25" s="31"/>
      <c r="V25" s="24"/>
    </row>
    <row r="26" ht="14.25" spans="1:22">
      <c r="A26" s="21" t="s">
        <v>199</v>
      </c>
      <c r="B26" s="21" t="s">
        <v>200</v>
      </c>
      <c r="C26" s="22" t="s">
        <v>206</v>
      </c>
      <c r="D26" s="23" t="s">
        <v>207</v>
      </c>
      <c r="E26" s="21" t="s">
        <v>103</v>
      </c>
      <c r="F26" s="24" t="s">
        <v>149</v>
      </c>
      <c r="G26" s="22" t="s">
        <v>196</v>
      </c>
      <c r="H26" s="22" t="s">
        <v>203</v>
      </c>
      <c r="I26" s="22" t="s">
        <v>204</v>
      </c>
      <c r="J26" s="22" t="s">
        <v>208</v>
      </c>
      <c r="K26" s="24" t="s">
        <v>209</v>
      </c>
      <c r="L26" s="27">
        <v>1590</v>
      </c>
      <c r="M26" s="28">
        <v>0.06</v>
      </c>
      <c r="N26" s="29" t="s">
        <v>210</v>
      </c>
      <c r="O26" s="30">
        <v>1590</v>
      </c>
      <c r="P26" s="29" t="s">
        <v>210</v>
      </c>
      <c r="Q26" s="22" t="s">
        <v>103</v>
      </c>
      <c r="R26" s="22" t="s">
        <v>103</v>
      </c>
      <c r="S26" s="22" t="s">
        <v>152</v>
      </c>
      <c r="T26" s="22" t="s">
        <v>105</v>
      </c>
      <c r="U26" s="31"/>
      <c r="V26" s="24" t="s">
        <v>211</v>
      </c>
    </row>
    <row r="27" ht="14.25" spans="1:22">
      <c r="A27" s="21" t="s">
        <v>199</v>
      </c>
      <c r="B27" s="21" t="s">
        <v>200</v>
      </c>
      <c r="C27" s="22" t="s">
        <v>212</v>
      </c>
      <c r="D27" s="23" t="s">
        <v>213</v>
      </c>
      <c r="E27" s="21" t="s">
        <v>103</v>
      </c>
      <c r="F27" s="24" t="s">
        <v>149</v>
      </c>
      <c r="G27" s="22" t="s">
        <v>196</v>
      </c>
      <c r="H27" s="22" t="s">
        <v>203</v>
      </c>
      <c r="I27" s="22" t="s">
        <v>204</v>
      </c>
      <c r="J27" s="22"/>
      <c r="K27" s="24"/>
      <c r="L27" s="27">
        <v>1577</v>
      </c>
      <c r="M27" s="28">
        <v>0.06</v>
      </c>
      <c r="N27" s="29" t="s">
        <v>214</v>
      </c>
      <c r="O27" s="30">
        <v>1577</v>
      </c>
      <c r="P27" s="29" t="s">
        <v>214</v>
      </c>
      <c r="Q27" s="22" t="s">
        <v>103</v>
      </c>
      <c r="R27" s="22" t="s">
        <v>103</v>
      </c>
      <c r="S27" s="22" t="s">
        <v>152</v>
      </c>
      <c r="T27" s="22" t="s">
        <v>105</v>
      </c>
      <c r="U27" s="31"/>
      <c r="V27" s="24" t="s">
        <v>215</v>
      </c>
    </row>
    <row r="28" ht="14.25" spans="1:22">
      <c r="A28" s="21" t="s">
        <v>199</v>
      </c>
      <c r="B28" s="21" t="s">
        <v>200</v>
      </c>
      <c r="C28" s="22" t="s">
        <v>216</v>
      </c>
      <c r="D28" s="23" t="s">
        <v>217</v>
      </c>
      <c r="E28" s="21" t="s">
        <v>103</v>
      </c>
      <c r="F28" s="24" t="s">
        <v>149</v>
      </c>
      <c r="G28" s="22" t="s">
        <v>196</v>
      </c>
      <c r="H28" s="22" t="s">
        <v>203</v>
      </c>
      <c r="I28" s="22" t="s">
        <v>204</v>
      </c>
      <c r="J28" s="22" t="s">
        <v>218</v>
      </c>
      <c r="K28" s="24" t="s">
        <v>219</v>
      </c>
      <c r="L28" s="27">
        <v>1591</v>
      </c>
      <c r="M28" s="28">
        <v>0.06</v>
      </c>
      <c r="N28" s="29" t="s">
        <v>220</v>
      </c>
      <c r="O28" s="30">
        <v>1591</v>
      </c>
      <c r="P28" s="29" t="s">
        <v>220</v>
      </c>
      <c r="Q28" s="22" t="s">
        <v>103</v>
      </c>
      <c r="R28" s="22" t="s">
        <v>103</v>
      </c>
      <c r="S28" s="22" t="s">
        <v>152</v>
      </c>
      <c r="T28" s="22" t="s">
        <v>105</v>
      </c>
      <c r="U28" s="31"/>
      <c r="V28" s="24" t="s">
        <v>221</v>
      </c>
    </row>
    <row r="29" ht="14.25" spans="1:22">
      <c r="A29" s="21" t="s">
        <v>199</v>
      </c>
      <c r="B29" s="21" t="s">
        <v>200</v>
      </c>
      <c r="C29" s="22" t="s">
        <v>222</v>
      </c>
      <c r="D29" s="23" t="s">
        <v>223</v>
      </c>
      <c r="E29" s="21" t="s">
        <v>103</v>
      </c>
      <c r="F29" s="24" t="s">
        <v>149</v>
      </c>
      <c r="G29" s="22" t="s">
        <v>196</v>
      </c>
      <c r="H29" s="22" t="s">
        <v>203</v>
      </c>
      <c r="I29" s="22" t="s">
        <v>204</v>
      </c>
      <c r="J29" s="22" t="s">
        <v>224</v>
      </c>
      <c r="K29" s="24" t="s">
        <v>225</v>
      </c>
      <c r="L29" s="27">
        <v>1591</v>
      </c>
      <c r="M29" s="28">
        <v>0.06</v>
      </c>
      <c r="N29" s="29" t="s">
        <v>220</v>
      </c>
      <c r="O29" s="30">
        <v>1591</v>
      </c>
      <c r="P29" s="29" t="s">
        <v>220</v>
      </c>
      <c r="Q29" s="22" t="s">
        <v>103</v>
      </c>
      <c r="R29" s="22" t="s">
        <v>103</v>
      </c>
      <c r="S29" s="22" t="s">
        <v>152</v>
      </c>
      <c r="T29" s="22" t="s">
        <v>105</v>
      </c>
      <c r="U29" s="31"/>
      <c r="V29" s="24" t="s">
        <v>221</v>
      </c>
    </row>
    <row r="30" ht="14.25" spans="1:22">
      <c r="A30" s="21" t="s">
        <v>199</v>
      </c>
      <c r="B30" s="21" t="s">
        <v>200</v>
      </c>
      <c r="C30" s="22" t="s">
        <v>226</v>
      </c>
      <c r="D30" s="23" t="s">
        <v>227</v>
      </c>
      <c r="E30" s="21" t="s">
        <v>103</v>
      </c>
      <c r="F30" s="24" t="s">
        <v>149</v>
      </c>
      <c r="G30" s="22" t="s">
        <v>196</v>
      </c>
      <c r="H30" s="22" t="s">
        <v>203</v>
      </c>
      <c r="I30" s="22" t="s">
        <v>204</v>
      </c>
      <c r="J30" s="22" t="s">
        <v>224</v>
      </c>
      <c r="K30" s="24" t="s">
        <v>225</v>
      </c>
      <c r="L30" s="27">
        <v>1591</v>
      </c>
      <c r="M30" s="28">
        <v>0.06</v>
      </c>
      <c r="N30" s="29" t="s">
        <v>220</v>
      </c>
      <c r="O30" s="30">
        <v>1591</v>
      </c>
      <c r="P30" s="29" t="s">
        <v>220</v>
      </c>
      <c r="Q30" s="22" t="s">
        <v>103</v>
      </c>
      <c r="R30" s="22" t="s">
        <v>103</v>
      </c>
      <c r="S30" s="22" t="s">
        <v>152</v>
      </c>
      <c r="T30" s="22" t="s">
        <v>105</v>
      </c>
      <c r="U30" s="31"/>
      <c r="V30" s="24" t="s">
        <v>221</v>
      </c>
    </row>
    <row r="31" ht="14.25" spans="1:22">
      <c r="A31" s="21" t="s">
        <v>199</v>
      </c>
      <c r="B31" s="21" t="s">
        <v>200</v>
      </c>
      <c r="C31" s="22" t="s">
        <v>228</v>
      </c>
      <c r="D31" s="23" t="s">
        <v>229</v>
      </c>
      <c r="E31" s="21" t="s">
        <v>103</v>
      </c>
      <c r="F31" s="24" t="s">
        <v>149</v>
      </c>
      <c r="G31" s="22" t="s">
        <v>196</v>
      </c>
      <c r="H31" s="22" t="s">
        <v>203</v>
      </c>
      <c r="I31" s="22" t="s">
        <v>204</v>
      </c>
      <c r="J31" s="22" t="s">
        <v>230</v>
      </c>
      <c r="K31" s="24" t="s">
        <v>231</v>
      </c>
      <c r="L31" s="27">
        <v>1580</v>
      </c>
      <c r="M31" s="28">
        <v>0.06</v>
      </c>
      <c r="N31" s="29" t="s">
        <v>232</v>
      </c>
      <c r="O31" s="30">
        <v>1580</v>
      </c>
      <c r="P31" s="29" t="s">
        <v>232</v>
      </c>
      <c r="Q31" s="22" t="s">
        <v>103</v>
      </c>
      <c r="R31" s="22" t="s">
        <v>103</v>
      </c>
      <c r="S31" s="22" t="s">
        <v>152</v>
      </c>
      <c r="T31" s="22" t="s">
        <v>105</v>
      </c>
      <c r="U31" s="31"/>
      <c r="V31" s="24" t="s">
        <v>233</v>
      </c>
    </row>
    <row r="32" ht="14.25" spans="1:22">
      <c r="A32" s="21" t="s">
        <v>199</v>
      </c>
      <c r="B32" s="21" t="s">
        <v>200</v>
      </c>
      <c r="C32" s="22" t="s">
        <v>234</v>
      </c>
      <c r="D32" s="23" t="s">
        <v>235</v>
      </c>
      <c r="E32" s="21" t="s">
        <v>103</v>
      </c>
      <c r="F32" s="24" t="s">
        <v>149</v>
      </c>
      <c r="G32" s="22" t="s">
        <v>196</v>
      </c>
      <c r="H32" s="22" t="s">
        <v>203</v>
      </c>
      <c r="I32" s="22" t="s">
        <v>204</v>
      </c>
      <c r="J32" s="22" t="s">
        <v>230</v>
      </c>
      <c r="K32" s="24" t="s">
        <v>231</v>
      </c>
      <c r="L32" s="27">
        <v>1580</v>
      </c>
      <c r="M32" s="28">
        <v>0.06</v>
      </c>
      <c r="N32" s="29" t="s">
        <v>232</v>
      </c>
      <c r="O32" s="30">
        <v>1580</v>
      </c>
      <c r="P32" s="29" t="s">
        <v>232</v>
      </c>
      <c r="Q32" s="22" t="s">
        <v>103</v>
      </c>
      <c r="R32" s="22" t="s">
        <v>103</v>
      </c>
      <c r="S32" s="22" t="s">
        <v>152</v>
      </c>
      <c r="T32" s="22" t="s">
        <v>105</v>
      </c>
      <c r="U32" s="31"/>
      <c r="V32" s="24" t="s">
        <v>233</v>
      </c>
    </row>
    <row r="33" ht="14.25" spans="1:22">
      <c r="A33" s="21" t="s">
        <v>199</v>
      </c>
      <c r="B33" s="21" t="s">
        <v>200</v>
      </c>
      <c r="C33" s="22" t="s">
        <v>236</v>
      </c>
      <c r="D33" s="23" t="s">
        <v>237</v>
      </c>
      <c r="E33" s="21" t="s">
        <v>103</v>
      </c>
      <c r="F33" s="24" t="s">
        <v>149</v>
      </c>
      <c r="G33" s="22" t="s">
        <v>196</v>
      </c>
      <c r="H33" s="22" t="s">
        <v>203</v>
      </c>
      <c r="I33" s="22" t="s">
        <v>204</v>
      </c>
      <c r="J33" s="22" t="s">
        <v>238</v>
      </c>
      <c r="K33" s="24" t="s">
        <v>239</v>
      </c>
      <c r="L33" s="27">
        <v>1634</v>
      </c>
      <c r="M33" s="28">
        <v>0.06</v>
      </c>
      <c r="N33" s="29" t="s">
        <v>240</v>
      </c>
      <c r="O33" s="30">
        <v>1634</v>
      </c>
      <c r="P33" s="29" t="s">
        <v>240</v>
      </c>
      <c r="Q33" s="22" t="s">
        <v>103</v>
      </c>
      <c r="R33" s="22" t="s">
        <v>103</v>
      </c>
      <c r="S33" s="22" t="s">
        <v>152</v>
      </c>
      <c r="T33" s="22" t="s">
        <v>105</v>
      </c>
      <c r="U33" s="31"/>
      <c r="V33" s="24"/>
    </row>
    <row r="34" ht="14.25" spans="1:22">
      <c r="A34" s="21" t="s">
        <v>199</v>
      </c>
      <c r="B34" s="21" t="s">
        <v>200</v>
      </c>
      <c r="C34" s="22" t="s">
        <v>241</v>
      </c>
      <c r="D34" s="23" t="s">
        <v>242</v>
      </c>
      <c r="E34" s="21" t="s">
        <v>103</v>
      </c>
      <c r="F34" s="24" t="s">
        <v>149</v>
      </c>
      <c r="G34" s="22" t="s">
        <v>196</v>
      </c>
      <c r="H34" s="22" t="s">
        <v>203</v>
      </c>
      <c r="I34" s="22" t="s">
        <v>204</v>
      </c>
      <c r="J34" s="22" t="s">
        <v>238</v>
      </c>
      <c r="K34" s="24" t="s">
        <v>239</v>
      </c>
      <c r="L34" s="27">
        <v>1634</v>
      </c>
      <c r="M34" s="28">
        <v>0.06</v>
      </c>
      <c r="N34" s="29" t="s">
        <v>240</v>
      </c>
      <c r="O34" s="30">
        <v>1634</v>
      </c>
      <c r="P34" s="29" t="s">
        <v>240</v>
      </c>
      <c r="Q34" s="22" t="s">
        <v>103</v>
      </c>
      <c r="R34" s="22" t="s">
        <v>103</v>
      </c>
      <c r="S34" s="22" t="s">
        <v>152</v>
      </c>
      <c r="T34" s="22" t="s">
        <v>105</v>
      </c>
      <c r="U34" s="31"/>
      <c r="V34" s="24"/>
    </row>
    <row r="35" ht="14.25" spans="1:22">
      <c r="A35" s="21" t="s">
        <v>199</v>
      </c>
      <c r="B35" s="21" t="s">
        <v>200</v>
      </c>
      <c r="C35" s="22" t="s">
        <v>243</v>
      </c>
      <c r="D35" s="23" t="s">
        <v>244</v>
      </c>
      <c r="E35" s="21" t="s">
        <v>103</v>
      </c>
      <c r="F35" s="24" t="s">
        <v>149</v>
      </c>
      <c r="G35" s="22" t="s">
        <v>196</v>
      </c>
      <c r="H35" s="22" t="s">
        <v>203</v>
      </c>
      <c r="I35" s="22" t="s">
        <v>204</v>
      </c>
      <c r="J35" s="22" t="s">
        <v>245</v>
      </c>
      <c r="K35" s="24" t="s">
        <v>246</v>
      </c>
      <c r="L35" s="27">
        <v>1625</v>
      </c>
      <c r="M35" s="28">
        <v>0.06</v>
      </c>
      <c r="N35" s="29" t="s">
        <v>247</v>
      </c>
      <c r="O35" s="30">
        <v>1625</v>
      </c>
      <c r="P35" s="29" t="s">
        <v>247</v>
      </c>
      <c r="Q35" s="22" t="s">
        <v>103</v>
      </c>
      <c r="R35" s="22" t="s">
        <v>103</v>
      </c>
      <c r="S35" s="22" t="s">
        <v>152</v>
      </c>
      <c r="T35" s="22" t="s">
        <v>105</v>
      </c>
      <c r="U35" s="31"/>
      <c r="V35" s="24"/>
    </row>
    <row r="36" ht="14.25" spans="1:22">
      <c r="A36" s="21" t="s">
        <v>199</v>
      </c>
      <c r="B36" s="21" t="s">
        <v>200</v>
      </c>
      <c r="C36" s="22" t="s">
        <v>248</v>
      </c>
      <c r="D36" s="23" t="s">
        <v>249</v>
      </c>
      <c r="E36" s="21" t="s">
        <v>103</v>
      </c>
      <c r="F36" s="24" t="s">
        <v>149</v>
      </c>
      <c r="G36" s="22" t="s">
        <v>196</v>
      </c>
      <c r="H36" s="22" t="s">
        <v>203</v>
      </c>
      <c r="I36" s="22" t="s">
        <v>204</v>
      </c>
      <c r="J36" s="22" t="s">
        <v>250</v>
      </c>
      <c r="K36" s="24" t="s">
        <v>251</v>
      </c>
      <c r="L36" s="27">
        <v>1622</v>
      </c>
      <c r="M36" s="28">
        <v>0.06</v>
      </c>
      <c r="N36" s="29" t="s">
        <v>252</v>
      </c>
      <c r="O36" s="30">
        <v>1622</v>
      </c>
      <c r="P36" s="29" t="s">
        <v>252</v>
      </c>
      <c r="Q36" s="22" t="s">
        <v>103</v>
      </c>
      <c r="R36" s="22" t="s">
        <v>103</v>
      </c>
      <c r="S36" s="22" t="s">
        <v>152</v>
      </c>
      <c r="T36" s="22" t="s">
        <v>105</v>
      </c>
      <c r="U36" s="31"/>
      <c r="V36" s="24"/>
    </row>
    <row r="37" ht="14.25" spans="1:22">
      <c r="A37" s="21" t="s">
        <v>199</v>
      </c>
      <c r="B37" s="21" t="s">
        <v>200</v>
      </c>
      <c r="C37" s="22" t="s">
        <v>253</v>
      </c>
      <c r="D37" s="23" t="s">
        <v>254</v>
      </c>
      <c r="E37" s="21" t="s">
        <v>103</v>
      </c>
      <c r="F37" s="24" t="s">
        <v>149</v>
      </c>
      <c r="G37" s="22" t="s">
        <v>196</v>
      </c>
      <c r="H37" s="22" t="s">
        <v>203</v>
      </c>
      <c r="I37" s="22" t="s">
        <v>204</v>
      </c>
      <c r="J37" s="22" t="s">
        <v>250</v>
      </c>
      <c r="K37" s="24" t="s">
        <v>251</v>
      </c>
      <c r="L37" s="27">
        <v>1622</v>
      </c>
      <c r="M37" s="28">
        <v>0.06</v>
      </c>
      <c r="N37" s="29" t="s">
        <v>252</v>
      </c>
      <c r="O37" s="30">
        <v>1622</v>
      </c>
      <c r="P37" s="29" t="s">
        <v>252</v>
      </c>
      <c r="Q37" s="22" t="s">
        <v>103</v>
      </c>
      <c r="R37" s="22" t="s">
        <v>103</v>
      </c>
      <c r="S37" s="22" t="s">
        <v>152</v>
      </c>
      <c r="T37" s="22" t="s">
        <v>105</v>
      </c>
      <c r="U37" s="31"/>
      <c r="V37" s="24"/>
    </row>
    <row r="38" ht="14.25" spans="1:22">
      <c r="A38" s="21" t="s">
        <v>199</v>
      </c>
      <c r="B38" s="21" t="s">
        <v>200</v>
      </c>
      <c r="C38" s="22" t="s">
        <v>255</v>
      </c>
      <c r="D38" s="23" t="s">
        <v>256</v>
      </c>
      <c r="E38" s="21" t="s">
        <v>103</v>
      </c>
      <c r="F38" s="24" t="s">
        <v>149</v>
      </c>
      <c r="G38" s="22" t="s">
        <v>196</v>
      </c>
      <c r="H38" s="22" t="s">
        <v>203</v>
      </c>
      <c r="I38" s="22" t="s">
        <v>204</v>
      </c>
      <c r="J38" s="22" t="s">
        <v>238</v>
      </c>
      <c r="K38" s="24" t="s">
        <v>239</v>
      </c>
      <c r="L38" s="27">
        <v>1628</v>
      </c>
      <c r="M38" s="28">
        <v>0.06</v>
      </c>
      <c r="N38" s="29" t="s">
        <v>257</v>
      </c>
      <c r="O38" s="30">
        <v>1628</v>
      </c>
      <c r="P38" s="29" t="s">
        <v>257</v>
      </c>
      <c r="Q38" s="22" t="s">
        <v>103</v>
      </c>
      <c r="R38" s="22" t="s">
        <v>103</v>
      </c>
      <c r="S38" s="22" t="s">
        <v>152</v>
      </c>
      <c r="T38" s="22" t="s">
        <v>105</v>
      </c>
      <c r="U38" s="31"/>
      <c r="V38" s="24"/>
    </row>
    <row r="39" ht="14.25" spans="1:22">
      <c r="A39" s="21" t="s">
        <v>199</v>
      </c>
      <c r="B39" s="21" t="s">
        <v>200</v>
      </c>
      <c r="C39" s="22" t="s">
        <v>258</v>
      </c>
      <c r="D39" s="23" t="s">
        <v>259</v>
      </c>
      <c r="E39" s="21" t="s">
        <v>103</v>
      </c>
      <c r="F39" s="24" t="s">
        <v>149</v>
      </c>
      <c r="G39" s="22" t="s">
        <v>196</v>
      </c>
      <c r="H39" s="22" t="s">
        <v>203</v>
      </c>
      <c r="I39" s="22" t="s">
        <v>204</v>
      </c>
      <c r="J39" s="22" t="s">
        <v>238</v>
      </c>
      <c r="K39" s="24" t="s">
        <v>239</v>
      </c>
      <c r="L39" s="27">
        <v>2848</v>
      </c>
      <c r="M39" s="28">
        <v>0.06</v>
      </c>
      <c r="N39" s="29" t="s">
        <v>260</v>
      </c>
      <c r="O39" s="30">
        <v>2848</v>
      </c>
      <c r="P39" s="29" t="s">
        <v>260</v>
      </c>
      <c r="Q39" s="22" t="s">
        <v>103</v>
      </c>
      <c r="R39" s="22" t="s">
        <v>103</v>
      </c>
      <c r="S39" s="22" t="s">
        <v>152</v>
      </c>
      <c r="T39" s="22" t="s">
        <v>105</v>
      </c>
      <c r="U39" s="31"/>
      <c r="V39" s="24" t="s">
        <v>261</v>
      </c>
    </row>
    <row r="40" ht="14.25" spans="1:22">
      <c r="A40" s="21" t="s">
        <v>199</v>
      </c>
      <c r="B40" s="21" t="s">
        <v>200</v>
      </c>
      <c r="C40" s="22" t="s">
        <v>262</v>
      </c>
      <c r="D40" s="23" t="s">
        <v>263</v>
      </c>
      <c r="E40" s="21" t="s">
        <v>103</v>
      </c>
      <c r="F40" s="24" t="s">
        <v>149</v>
      </c>
      <c r="G40" s="22" t="s">
        <v>196</v>
      </c>
      <c r="H40" s="22" t="s">
        <v>203</v>
      </c>
      <c r="I40" s="22" t="s">
        <v>204</v>
      </c>
      <c r="J40" s="22" t="s">
        <v>264</v>
      </c>
      <c r="K40" s="24" t="s">
        <v>265</v>
      </c>
      <c r="L40" s="27">
        <v>2443</v>
      </c>
      <c r="M40" s="28">
        <v>0.06</v>
      </c>
      <c r="N40" s="29" t="s">
        <v>266</v>
      </c>
      <c r="O40" s="30">
        <v>2443</v>
      </c>
      <c r="P40" s="29" t="s">
        <v>266</v>
      </c>
      <c r="Q40" s="22" t="s">
        <v>103</v>
      </c>
      <c r="R40" s="22" t="s">
        <v>103</v>
      </c>
      <c r="S40" s="22" t="s">
        <v>152</v>
      </c>
      <c r="T40" s="22" t="s">
        <v>105</v>
      </c>
      <c r="U40" s="31"/>
      <c r="V40" s="24" t="s">
        <v>267</v>
      </c>
    </row>
    <row r="41" ht="14.25" spans="1:22">
      <c r="A41" s="21" t="s">
        <v>199</v>
      </c>
      <c r="B41" s="21" t="s">
        <v>200</v>
      </c>
      <c r="C41" s="22" t="s">
        <v>268</v>
      </c>
      <c r="D41" s="23" t="s">
        <v>269</v>
      </c>
      <c r="E41" s="21" t="s">
        <v>103</v>
      </c>
      <c r="F41" s="24" t="s">
        <v>149</v>
      </c>
      <c r="G41" s="22" t="s">
        <v>196</v>
      </c>
      <c r="H41" s="22" t="s">
        <v>203</v>
      </c>
      <c r="I41" s="22" t="s">
        <v>204</v>
      </c>
      <c r="J41" s="22"/>
      <c r="K41" s="24"/>
      <c r="L41" s="27">
        <v>1577</v>
      </c>
      <c r="M41" s="28">
        <v>0.06</v>
      </c>
      <c r="N41" s="29" t="s">
        <v>214</v>
      </c>
      <c r="O41" s="30">
        <v>1577</v>
      </c>
      <c r="P41" s="29" t="s">
        <v>214</v>
      </c>
      <c r="Q41" s="22" t="s">
        <v>103</v>
      </c>
      <c r="R41" s="22" t="s">
        <v>103</v>
      </c>
      <c r="S41" s="22" t="s">
        <v>152</v>
      </c>
      <c r="T41" s="22" t="s">
        <v>105</v>
      </c>
      <c r="U41" s="31"/>
      <c r="V41" s="24" t="s">
        <v>215</v>
      </c>
    </row>
    <row r="42" ht="14.25" spans="1:22">
      <c r="A42" s="21" t="s">
        <v>199</v>
      </c>
      <c r="B42" s="21" t="s">
        <v>200</v>
      </c>
      <c r="C42" s="22" t="s">
        <v>270</v>
      </c>
      <c r="D42" s="23" t="s">
        <v>271</v>
      </c>
      <c r="E42" s="21" t="s">
        <v>103</v>
      </c>
      <c r="F42" s="24" t="s">
        <v>149</v>
      </c>
      <c r="G42" s="22" t="s">
        <v>196</v>
      </c>
      <c r="H42" s="22" t="s">
        <v>203</v>
      </c>
      <c r="I42" s="22" t="s">
        <v>204</v>
      </c>
      <c r="J42" s="22" t="s">
        <v>272</v>
      </c>
      <c r="K42" s="24" t="s">
        <v>273</v>
      </c>
      <c r="L42" s="27">
        <v>1577</v>
      </c>
      <c r="M42" s="28">
        <v>0.06</v>
      </c>
      <c r="N42" s="29" t="s">
        <v>214</v>
      </c>
      <c r="O42" s="30">
        <v>1577</v>
      </c>
      <c r="P42" s="29" t="s">
        <v>214</v>
      </c>
      <c r="Q42" s="22" t="s">
        <v>103</v>
      </c>
      <c r="R42" s="22" t="s">
        <v>103</v>
      </c>
      <c r="S42" s="22" t="s">
        <v>152</v>
      </c>
      <c r="T42" s="22" t="s">
        <v>105</v>
      </c>
      <c r="U42" s="31"/>
      <c r="V42" s="24" t="s">
        <v>215</v>
      </c>
    </row>
    <row r="43" ht="14.25" spans="1:22">
      <c r="A43" s="21" t="s">
        <v>199</v>
      </c>
      <c r="B43" s="21" t="s">
        <v>200</v>
      </c>
      <c r="C43" s="22" t="s">
        <v>274</v>
      </c>
      <c r="D43" s="23" t="s">
        <v>275</v>
      </c>
      <c r="E43" s="21" t="s">
        <v>103</v>
      </c>
      <c r="F43" s="24" t="s">
        <v>149</v>
      </c>
      <c r="G43" s="22" t="s">
        <v>196</v>
      </c>
      <c r="H43" s="22" t="s">
        <v>203</v>
      </c>
      <c r="I43" s="22" t="s">
        <v>204</v>
      </c>
      <c r="J43" s="22"/>
      <c r="K43" s="24"/>
      <c r="L43" s="27">
        <v>1577</v>
      </c>
      <c r="M43" s="28">
        <v>0.06</v>
      </c>
      <c r="N43" s="29" t="s">
        <v>214</v>
      </c>
      <c r="O43" s="30">
        <v>1577</v>
      </c>
      <c r="P43" s="29" t="s">
        <v>214</v>
      </c>
      <c r="Q43" s="22" t="s">
        <v>103</v>
      </c>
      <c r="R43" s="22" t="s">
        <v>103</v>
      </c>
      <c r="S43" s="22" t="s">
        <v>152</v>
      </c>
      <c r="T43" s="22" t="s">
        <v>105</v>
      </c>
      <c r="U43" s="31"/>
      <c r="V43" s="24" t="s">
        <v>215</v>
      </c>
    </row>
    <row r="44" ht="14.25" spans="1:22">
      <c r="A44" s="21" t="s">
        <v>199</v>
      </c>
      <c r="B44" s="21" t="s">
        <v>200</v>
      </c>
      <c r="C44" s="22" t="s">
        <v>276</v>
      </c>
      <c r="D44" s="23" t="s">
        <v>277</v>
      </c>
      <c r="E44" s="21" t="s">
        <v>103</v>
      </c>
      <c r="F44" s="24" t="s">
        <v>149</v>
      </c>
      <c r="G44" s="22" t="s">
        <v>196</v>
      </c>
      <c r="H44" s="22" t="s">
        <v>203</v>
      </c>
      <c r="I44" s="22" t="s">
        <v>204</v>
      </c>
      <c r="J44" s="22" t="s">
        <v>278</v>
      </c>
      <c r="K44" s="24" t="s">
        <v>279</v>
      </c>
      <c r="L44" s="27">
        <v>1577</v>
      </c>
      <c r="M44" s="28">
        <v>0.06</v>
      </c>
      <c r="N44" s="29" t="s">
        <v>214</v>
      </c>
      <c r="O44" s="30">
        <v>1577</v>
      </c>
      <c r="P44" s="29" t="s">
        <v>214</v>
      </c>
      <c r="Q44" s="22" t="s">
        <v>103</v>
      </c>
      <c r="R44" s="22" t="s">
        <v>103</v>
      </c>
      <c r="S44" s="22" t="s">
        <v>152</v>
      </c>
      <c r="T44" s="22" t="s">
        <v>105</v>
      </c>
      <c r="U44" s="31"/>
      <c r="V44" s="24" t="s">
        <v>215</v>
      </c>
    </row>
    <row r="45" ht="14.25" spans="1:22">
      <c r="A45" s="21" t="s">
        <v>199</v>
      </c>
      <c r="B45" s="21" t="s">
        <v>200</v>
      </c>
      <c r="C45" s="22" t="s">
        <v>280</v>
      </c>
      <c r="D45" s="23" t="s">
        <v>281</v>
      </c>
      <c r="E45" s="21" t="s">
        <v>103</v>
      </c>
      <c r="F45" s="24" t="s">
        <v>149</v>
      </c>
      <c r="G45" s="22" t="s">
        <v>196</v>
      </c>
      <c r="H45" s="22" t="s">
        <v>203</v>
      </c>
      <c r="I45" s="22" t="s">
        <v>204</v>
      </c>
      <c r="J45" s="22" t="s">
        <v>282</v>
      </c>
      <c r="K45" s="24" t="s">
        <v>283</v>
      </c>
      <c r="L45" s="27">
        <v>2848</v>
      </c>
      <c r="M45" s="28">
        <v>0.06</v>
      </c>
      <c r="N45" s="29" t="s">
        <v>260</v>
      </c>
      <c r="O45" s="30">
        <v>2848</v>
      </c>
      <c r="P45" s="29" t="s">
        <v>260</v>
      </c>
      <c r="Q45" s="22" t="s">
        <v>103</v>
      </c>
      <c r="R45" s="22" t="s">
        <v>103</v>
      </c>
      <c r="S45" s="22" t="s">
        <v>152</v>
      </c>
      <c r="T45" s="22" t="s">
        <v>105</v>
      </c>
      <c r="U45" s="31"/>
      <c r="V45" s="24" t="s">
        <v>261</v>
      </c>
    </row>
    <row r="46" ht="14.25" spans="1:22">
      <c r="A46" s="21" t="s">
        <v>199</v>
      </c>
      <c r="B46" s="21" t="s">
        <v>200</v>
      </c>
      <c r="C46" s="22" t="s">
        <v>284</v>
      </c>
      <c r="D46" s="23" t="s">
        <v>285</v>
      </c>
      <c r="E46" s="21" t="s">
        <v>103</v>
      </c>
      <c r="F46" s="24" t="s">
        <v>149</v>
      </c>
      <c r="G46" s="22" t="s">
        <v>196</v>
      </c>
      <c r="H46" s="22" t="s">
        <v>203</v>
      </c>
      <c r="I46" s="22" t="s">
        <v>204</v>
      </c>
      <c r="J46" s="22"/>
      <c r="K46" s="24"/>
      <c r="L46" s="27">
        <v>1579</v>
      </c>
      <c r="M46" s="28">
        <v>0.06</v>
      </c>
      <c r="N46" s="29" t="s">
        <v>286</v>
      </c>
      <c r="O46" s="30">
        <v>1579</v>
      </c>
      <c r="P46" s="29" t="s">
        <v>286</v>
      </c>
      <c r="Q46" s="22" t="s">
        <v>103</v>
      </c>
      <c r="R46" s="22" t="s">
        <v>103</v>
      </c>
      <c r="S46" s="22" t="s">
        <v>152</v>
      </c>
      <c r="T46" s="22" t="s">
        <v>105</v>
      </c>
      <c r="U46" s="31"/>
      <c r="V46" s="24" t="s">
        <v>287</v>
      </c>
    </row>
    <row r="47" ht="14.25" spans="1:22">
      <c r="A47" s="21" t="s">
        <v>199</v>
      </c>
      <c r="B47" s="21" t="s">
        <v>200</v>
      </c>
      <c r="C47" s="22" t="s">
        <v>288</v>
      </c>
      <c r="D47" s="23" t="s">
        <v>289</v>
      </c>
      <c r="E47" s="21" t="s">
        <v>103</v>
      </c>
      <c r="F47" s="24" t="s">
        <v>149</v>
      </c>
      <c r="G47" s="22" t="s">
        <v>196</v>
      </c>
      <c r="H47" s="22" t="s">
        <v>203</v>
      </c>
      <c r="I47" s="22" t="s">
        <v>204</v>
      </c>
      <c r="J47" s="22"/>
      <c r="K47" s="24"/>
      <c r="L47" s="27">
        <v>1579</v>
      </c>
      <c r="M47" s="28">
        <v>0.06</v>
      </c>
      <c r="N47" s="29" t="s">
        <v>286</v>
      </c>
      <c r="O47" s="30">
        <v>1579</v>
      </c>
      <c r="P47" s="29" t="s">
        <v>286</v>
      </c>
      <c r="Q47" s="22" t="s">
        <v>103</v>
      </c>
      <c r="R47" s="22" t="s">
        <v>103</v>
      </c>
      <c r="S47" s="22" t="s">
        <v>152</v>
      </c>
      <c r="T47" s="22" t="s">
        <v>105</v>
      </c>
      <c r="U47" s="31"/>
      <c r="V47" s="24" t="s">
        <v>287</v>
      </c>
    </row>
    <row r="48" ht="14.25" spans="1:22">
      <c r="A48" s="21" t="s">
        <v>199</v>
      </c>
      <c r="B48" s="21" t="s">
        <v>200</v>
      </c>
      <c r="C48" s="22" t="s">
        <v>290</v>
      </c>
      <c r="D48" s="23" t="s">
        <v>291</v>
      </c>
      <c r="E48" s="21" t="s">
        <v>103</v>
      </c>
      <c r="F48" s="24" t="s">
        <v>149</v>
      </c>
      <c r="G48" s="22" t="s">
        <v>196</v>
      </c>
      <c r="H48" s="22" t="s">
        <v>203</v>
      </c>
      <c r="I48" s="22" t="s">
        <v>204</v>
      </c>
      <c r="J48" s="22"/>
      <c r="K48" s="24"/>
      <c r="L48" s="27">
        <v>1578</v>
      </c>
      <c r="M48" s="28">
        <v>0.06</v>
      </c>
      <c r="N48" s="29" t="s">
        <v>292</v>
      </c>
      <c r="O48" s="30">
        <v>1578</v>
      </c>
      <c r="P48" s="29" t="s">
        <v>292</v>
      </c>
      <c r="Q48" s="22" t="s">
        <v>103</v>
      </c>
      <c r="R48" s="22" t="s">
        <v>103</v>
      </c>
      <c r="S48" s="22" t="s">
        <v>152</v>
      </c>
      <c r="T48" s="22" t="s">
        <v>105</v>
      </c>
      <c r="U48" s="31"/>
      <c r="V48" s="24" t="s">
        <v>293</v>
      </c>
    </row>
    <row r="49" ht="14.25" spans="1:22">
      <c r="A49" s="21" t="s">
        <v>192</v>
      </c>
      <c r="B49" s="21" t="s">
        <v>193</v>
      </c>
      <c r="C49" s="22" t="s">
        <v>294</v>
      </c>
      <c r="D49" s="23" t="s">
        <v>295</v>
      </c>
      <c r="E49" s="21" t="s">
        <v>103</v>
      </c>
      <c r="F49" s="24" t="s">
        <v>149</v>
      </c>
      <c r="G49" s="22" t="s">
        <v>196</v>
      </c>
      <c r="H49" s="22" t="s">
        <v>203</v>
      </c>
      <c r="I49" s="22" t="s">
        <v>204</v>
      </c>
      <c r="J49" s="22"/>
      <c r="K49" s="24"/>
      <c r="L49" s="27">
        <v>1197</v>
      </c>
      <c r="M49" s="28">
        <v>0.06</v>
      </c>
      <c r="N49" s="29" t="s">
        <v>296</v>
      </c>
      <c r="O49" s="30">
        <v>1197</v>
      </c>
      <c r="P49" s="29" t="s">
        <v>296</v>
      </c>
      <c r="Q49" s="22" t="s">
        <v>103</v>
      </c>
      <c r="R49" s="22" t="s">
        <v>103</v>
      </c>
      <c r="S49" s="22" t="s">
        <v>152</v>
      </c>
      <c r="T49" s="22" t="s">
        <v>105</v>
      </c>
      <c r="U49" s="31"/>
      <c r="V49" s="24" t="s">
        <v>297</v>
      </c>
    </row>
    <row r="50" ht="14.25" spans="1:22">
      <c r="A50" s="21" t="s">
        <v>153</v>
      </c>
      <c r="B50" s="21" t="s">
        <v>154</v>
      </c>
      <c r="C50" s="22" t="s">
        <v>298</v>
      </c>
      <c r="D50" s="23" t="s">
        <v>299</v>
      </c>
      <c r="E50" s="21" t="s">
        <v>103</v>
      </c>
      <c r="F50" s="24" t="s">
        <v>149</v>
      </c>
      <c r="G50" s="22" t="s">
        <v>196</v>
      </c>
      <c r="H50" s="22" t="s">
        <v>203</v>
      </c>
      <c r="I50" s="22" t="s">
        <v>204</v>
      </c>
      <c r="J50" s="22" t="s">
        <v>300</v>
      </c>
      <c r="K50" s="24" t="s">
        <v>301</v>
      </c>
      <c r="L50" s="27">
        <v>2914</v>
      </c>
      <c r="M50" s="28">
        <v>0.06</v>
      </c>
      <c r="N50" s="29" t="s">
        <v>302</v>
      </c>
      <c r="O50" s="30">
        <v>2914</v>
      </c>
      <c r="P50" s="29" t="s">
        <v>302</v>
      </c>
      <c r="Q50" s="22" t="s">
        <v>94</v>
      </c>
      <c r="R50" s="22" t="s">
        <v>103</v>
      </c>
      <c r="S50" s="22" t="s">
        <v>152</v>
      </c>
      <c r="T50" s="22" t="s">
        <v>105</v>
      </c>
      <c r="U50" s="31"/>
      <c r="V50" s="24" t="s">
        <v>303</v>
      </c>
    </row>
    <row r="51" ht="14.25" spans="1:22">
      <c r="A51" s="21" t="s">
        <v>199</v>
      </c>
      <c r="B51" s="21" t="s">
        <v>200</v>
      </c>
      <c r="C51" s="22" t="s">
        <v>304</v>
      </c>
      <c r="D51" s="23" t="s">
        <v>305</v>
      </c>
      <c r="E51" s="21" t="s">
        <v>103</v>
      </c>
      <c r="F51" s="24" t="s">
        <v>149</v>
      </c>
      <c r="G51" s="22" t="s">
        <v>196</v>
      </c>
      <c r="H51" s="22" t="s">
        <v>203</v>
      </c>
      <c r="I51" s="22" t="s">
        <v>204</v>
      </c>
      <c r="J51" s="22" t="s">
        <v>306</v>
      </c>
      <c r="K51" s="24" t="s">
        <v>307</v>
      </c>
      <c r="L51" s="27">
        <v>1631</v>
      </c>
      <c r="M51" s="28">
        <v>0.06</v>
      </c>
      <c r="N51" s="29" t="s">
        <v>308</v>
      </c>
      <c r="O51" s="30">
        <v>1631</v>
      </c>
      <c r="P51" s="29" t="s">
        <v>308</v>
      </c>
      <c r="Q51" s="22" t="s">
        <v>103</v>
      </c>
      <c r="R51" s="22" t="s">
        <v>103</v>
      </c>
      <c r="S51" s="22" t="s">
        <v>152</v>
      </c>
      <c r="T51" s="22" t="s">
        <v>105</v>
      </c>
      <c r="U51" s="31"/>
      <c r="V51" s="24"/>
    </row>
    <row r="52" ht="14.25" spans="1:22">
      <c r="A52" s="21" t="s">
        <v>309</v>
      </c>
      <c r="B52" s="21" t="s">
        <v>310</v>
      </c>
      <c r="C52" s="22" t="s">
        <v>311</v>
      </c>
      <c r="D52" s="23" t="s">
        <v>312</v>
      </c>
      <c r="E52" s="21" t="s">
        <v>103</v>
      </c>
      <c r="F52" s="24" t="s">
        <v>182</v>
      </c>
      <c r="G52" s="22" t="s">
        <v>182</v>
      </c>
      <c r="H52" s="22" t="s">
        <v>313</v>
      </c>
      <c r="I52" s="22" t="s">
        <v>204</v>
      </c>
      <c r="J52" s="22"/>
      <c r="K52" s="24"/>
      <c r="L52" s="27">
        <v>2848</v>
      </c>
      <c r="M52" s="28">
        <v>0.06</v>
      </c>
      <c r="N52" s="29" t="s">
        <v>260</v>
      </c>
      <c r="O52" s="30">
        <v>2848</v>
      </c>
      <c r="P52" s="29" t="s">
        <v>260</v>
      </c>
      <c r="Q52" s="22" t="s">
        <v>94</v>
      </c>
      <c r="R52" s="22" t="s">
        <v>94</v>
      </c>
      <c r="S52" s="22" t="s">
        <v>152</v>
      </c>
      <c r="T52" s="22" t="s">
        <v>105</v>
      </c>
      <c r="U52" s="31"/>
      <c r="V52" s="24" t="s">
        <v>261</v>
      </c>
    </row>
    <row r="53" ht="14.25" spans="1:22">
      <c r="A53" s="21" t="s">
        <v>199</v>
      </c>
      <c r="B53" s="21" t="s">
        <v>200</v>
      </c>
      <c r="C53" s="22" t="s">
        <v>314</v>
      </c>
      <c r="D53" s="23" t="s">
        <v>315</v>
      </c>
      <c r="E53" s="21" t="s">
        <v>103</v>
      </c>
      <c r="F53" s="24" t="s">
        <v>316</v>
      </c>
      <c r="G53" s="22" t="s">
        <v>317</v>
      </c>
      <c r="H53" s="22" t="s">
        <v>203</v>
      </c>
      <c r="I53" s="22" t="s">
        <v>204</v>
      </c>
      <c r="J53" s="22" t="s">
        <v>318</v>
      </c>
      <c r="K53" s="24" t="s">
        <v>319</v>
      </c>
      <c r="L53" s="27">
        <v>1616</v>
      </c>
      <c r="M53" s="28">
        <v>0.06</v>
      </c>
      <c r="N53" s="29" t="s">
        <v>320</v>
      </c>
      <c r="O53" s="30">
        <v>1616</v>
      </c>
      <c r="P53" s="29" t="s">
        <v>320</v>
      </c>
      <c r="Q53" s="22" t="s">
        <v>103</v>
      </c>
      <c r="R53" s="22" t="s">
        <v>103</v>
      </c>
      <c r="S53" s="22" t="s">
        <v>152</v>
      </c>
      <c r="T53" s="22" t="s">
        <v>105</v>
      </c>
      <c r="U53" s="31"/>
      <c r="V53" s="24"/>
    </row>
    <row r="54" ht="14.25" spans="1:22">
      <c r="A54" s="21" t="s">
        <v>199</v>
      </c>
      <c r="B54" s="21" t="s">
        <v>200</v>
      </c>
      <c r="C54" s="22" t="s">
        <v>321</v>
      </c>
      <c r="D54" s="23" t="s">
        <v>322</v>
      </c>
      <c r="E54" s="21" t="s">
        <v>103</v>
      </c>
      <c r="F54" s="24" t="s">
        <v>316</v>
      </c>
      <c r="G54" s="22" t="s">
        <v>317</v>
      </c>
      <c r="H54" s="22" t="s">
        <v>203</v>
      </c>
      <c r="I54" s="22" t="s">
        <v>204</v>
      </c>
      <c r="J54" s="22"/>
      <c r="K54" s="24"/>
      <c r="L54" s="27">
        <v>2443</v>
      </c>
      <c r="M54" s="28">
        <v>0.06</v>
      </c>
      <c r="N54" s="29" t="s">
        <v>266</v>
      </c>
      <c r="O54" s="30">
        <v>2443</v>
      </c>
      <c r="P54" s="29" t="s">
        <v>266</v>
      </c>
      <c r="Q54" s="22" t="s">
        <v>103</v>
      </c>
      <c r="R54" s="22" t="s">
        <v>103</v>
      </c>
      <c r="S54" s="22" t="s">
        <v>152</v>
      </c>
      <c r="T54" s="22" t="s">
        <v>105</v>
      </c>
      <c r="U54" s="31"/>
      <c r="V54" s="24" t="s">
        <v>267</v>
      </c>
    </row>
    <row r="55" ht="14.25" spans="1:22">
      <c r="A55" s="21" t="s">
        <v>199</v>
      </c>
      <c r="B55" s="21" t="s">
        <v>200</v>
      </c>
      <c r="C55" s="22" t="s">
        <v>323</v>
      </c>
      <c r="D55" s="23" t="s">
        <v>324</v>
      </c>
      <c r="E55" s="21" t="s">
        <v>103</v>
      </c>
      <c r="F55" s="24" t="s">
        <v>316</v>
      </c>
      <c r="G55" s="22" t="s">
        <v>317</v>
      </c>
      <c r="H55" s="22" t="s">
        <v>203</v>
      </c>
      <c r="I55" s="22" t="s">
        <v>204</v>
      </c>
      <c r="J55" s="22"/>
      <c r="K55" s="24"/>
      <c r="L55" s="27">
        <v>2848</v>
      </c>
      <c r="M55" s="28">
        <v>0.06</v>
      </c>
      <c r="N55" s="29" t="s">
        <v>260</v>
      </c>
      <c r="O55" s="30">
        <v>2848</v>
      </c>
      <c r="P55" s="29" t="s">
        <v>260</v>
      </c>
      <c r="Q55" s="22" t="s">
        <v>103</v>
      </c>
      <c r="R55" s="22" t="s">
        <v>103</v>
      </c>
      <c r="S55" s="22" t="s">
        <v>152</v>
      </c>
      <c r="T55" s="22" t="s">
        <v>105</v>
      </c>
      <c r="U55" s="31"/>
      <c r="V55" s="24" t="s">
        <v>261</v>
      </c>
    </row>
    <row r="56" ht="14.25" spans="1:22">
      <c r="A56" s="21" t="s">
        <v>199</v>
      </c>
      <c r="B56" s="21" t="s">
        <v>200</v>
      </c>
      <c r="C56" s="22" t="s">
        <v>325</v>
      </c>
      <c r="D56" s="23" t="s">
        <v>326</v>
      </c>
      <c r="E56" s="21" t="s">
        <v>103</v>
      </c>
      <c r="F56" s="24" t="s">
        <v>316</v>
      </c>
      <c r="G56" s="22" t="s">
        <v>317</v>
      </c>
      <c r="H56" s="22" t="s">
        <v>203</v>
      </c>
      <c r="I56" s="22" t="s">
        <v>204</v>
      </c>
      <c r="J56" s="22"/>
      <c r="K56" s="24"/>
      <c r="L56" s="27">
        <v>2848</v>
      </c>
      <c r="M56" s="28">
        <v>0.06</v>
      </c>
      <c r="N56" s="29" t="s">
        <v>260</v>
      </c>
      <c r="O56" s="30">
        <v>2848</v>
      </c>
      <c r="P56" s="29" t="s">
        <v>260</v>
      </c>
      <c r="Q56" s="22" t="s">
        <v>103</v>
      </c>
      <c r="R56" s="22" t="s">
        <v>103</v>
      </c>
      <c r="S56" s="22" t="s">
        <v>152</v>
      </c>
      <c r="T56" s="22" t="s">
        <v>105</v>
      </c>
      <c r="U56" s="31"/>
      <c r="V56" s="24" t="s">
        <v>261</v>
      </c>
    </row>
    <row r="57" ht="14.25" spans="1:22">
      <c r="A57" s="21" t="s">
        <v>199</v>
      </c>
      <c r="B57" s="21" t="s">
        <v>200</v>
      </c>
      <c r="C57" s="22" t="s">
        <v>327</v>
      </c>
      <c r="D57" s="23" t="s">
        <v>328</v>
      </c>
      <c r="E57" s="21" t="s">
        <v>103</v>
      </c>
      <c r="F57" s="24" t="s">
        <v>316</v>
      </c>
      <c r="G57" s="22" t="s">
        <v>317</v>
      </c>
      <c r="H57" s="22" t="s">
        <v>203</v>
      </c>
      <c r="I57" s="22" t="s">
        <v>204</v>
      </c>
      <c r="J57" s="22"/>
      <c r="K57" s="24"/>
      <c r="L57" s="27">
        <v>2848</v>
      </c>
      <c r="M57" s="28">
        <v>0.06</v>
      </c>
      <c r="N57" s="29" t="s">
        <v>260</v>
      </c>
      <c r="O57" s="30">
        <v>2848</v>
      </c>
      <c r="P57" s="29" t="s">
        <v>260</v>
      </c>
      <c r="Q57" s="22" t="s">
        <v>103</v>
      </c>
      <c r="R57" s="22" t="s">
        <v>103</v>
      </c>
      <c r="S57" s="22" t="s">
        <v>152</v>
      </c>
      <c r="T57" s="22" t="s">
        <v>105</v>
      </c>
      <c r="U57" s="31"/>
      <c r="V57" s="24" t="s">
        <v>261</v>
      </c>
    </row>
    <row r="58" ht="14.25" spans="1:22">
      <c r="A58" s="21" t="s">
        <v>199</v>
      </c>
      <c r="B58" s="21" t="s">
        <v>200</v>
      </c>
      <c r="C58" s="22" t="s">
        <v>329</v>
      </c>
      <c r="D58" s="23" t="s">
        <v>330</v>
      </c>
      <c r="E58" s="21" t="s">
        <v>103</v>
      </c>
      <c r="F58" s="24" t="s">
        <v>316</v>
      </c>
      <c r="G58" s="22" t="s">
        <v>317</v>
      </c>
      <c r="H58" s="22" t="s">
        <v>203</v>
      </c>
      <c r="I58" s="22" t="s">
        <v>204</v>
      </c>
      <c r="J58" s="22"/>
      <c r="K58" s="24"/>
      <c r="L58" s="27">
        <v>1592</v>
      </c>
      <c r="M58" s="28">
        <v>0.06</v>
      </c>
      <c r="N58" s="29" t="s">
        <v>331</v>
      </c>
      <c r="O58" s="30">
        <v>1592</v>
      </c>
      <c r="P58" s="29" t="s">
        <v>331</v>
      </c>
      <c r="Q58" s="22" t="s">
        <v>103</v>
      </c>
      <c r="R58" s="22" t="s">
        <v>103</v>
      </c>
      <c r="S58" s="22" t="s">
        <v>152</v>
      </c>
      <c r="T58" s="22" t="s">
        <v>105</v>
      </c>
      <c r="U58" s="31"/>
      <c r="V58" s="24" t="s">
        <v>332</v>
      </c>
    </row>
    <row r="59" ht="14.25" spans="1:22">
      <c r="A59" s="21" t="s">
        <v>199</v>
      </c>
      <c r="B59" s="21" t="s">
        <v>200</v>
      </c>
      <c r="C59" s="22" t="s">
        <v>333</v>
      </c>
      <c r="D59" s="23" t="s">
        <v>334</v>
      </c>
      <c r="E59" s="21" t="s">
        <v>103</v>
      </c>
      <c r="F59" s="24" t="s">
        <v>316</v>
      </c>
      <c r="G59" s="22" t="s">
        <v>335</v>
      </c>
      <c r="H59" s="22" t="s">
        <v>203</v>
      </c>
      <c r="I59" s="22" t="s">
        <v>204</v>
      </c>
      <c r="J59" s="22"/>
      <c r="K59" s="24"/>
      <c r="L59" s="27">
        <v>1592</v>
      </c>
      <c r="M59" s="28">
        <v>0.06</v>
      </c>
      <c r="N59" s="29" t="s">
        <v>331</v>
      </c>
      <c r="O59" s="30">
        <v>1592</v>
      </c>
      <c r="P59" s="29" t="s">
        <v>331</v>
      </c>
      <c r="Q59" s="22" t="s">
        <v>103</v>
      </c>
      <c r="R59" s="22" t="s">
        <v>103</v>
      </c>
      <c r="S59" s="22" t="s">
        <v>152</v>
      </c>
      <c r="T59" s="22" t="s">
        <v>105</v>
      </c>
      <c r="U59" s="31"/>
      <c r="V59" s="24" t="s">
        <v>332</v>
      </c>
    </row>
    <row r="60" ht="14.25" spans="1:22">
      <c r="A60" s="21" t="s">
        <v>336</v>
      </c>
      <c r="B60" s="21" t="s">
        <v>337</v>
      </c>
      <c r="C60" s="22" t="s">
        <v>338</v>
      </c>
      <c r="D60" s="23" t="s">
        <v>339</v>
      </c>
      <c r="E60" s="21" t="s">
        <v>103</v>
      </c>
      <c r="F60" s="24" t="s">
        <v>316</v>
      </c>
      <c r="G60" s="22" t="s">
        <v>340</v>
      </c>
      <c r="H60" s="22" t="s">
        <v>203</v>
      </c>
      <c r="I60" s="22" t="s">
        <v>204</v>
      </c>
      <c r="J60" s="22"/>
      <c r="K60" s="24"/>
      <c r="L60" s="27">
        <v>2912</v>
      </c>
      <c r="M60" s="28">
        <v>0.06</v>
      </c>
      <c r="N60" s="29" t="s">
        <v>341</v>
      </c>
      <c r="O60" s="27">
        <v>2912</v>
      </c>
      <c r="P60" s="29" t="s">
        <v>341</v>
      </c>
      <c r="Q60" s="22" t="s">
        <v>103</v>
      </c>
      <c r="R60" s="22" t="s">
        <v>103</v>
      </c>
      <c r="S60" s="22" t="s">
        <v>152</v>
      </c>
      <c r="T60" s="22" t="s">
        <v>105</v>
      </c>
      <c r="U60" s="31"/>
      <c r="V60" s="32" t="s">
        <v>342</v>
      </c>
    </row>
    <row r="61" ht="14.25" spans="1:22">
      <c r="A61" s="21" t="s">
        <v>199</v>
      </c>
      <c r="B61" s="21" t="s">
        <v>200</v>
      </c>
      <c r="C61" s="22" t="s">
        <v>343</v>
      </c>
      <c r="D61" s="23" t="s">
        <v>344</v>
      </c>
      <c r="E61" s="21" t="s">
        <v>103</v>
      </c>
      <c r="F61" s="24" t="s">
        <v>316</v>
      </c>
      <c r="G61" s="22" t="s">
        <v>317</v>
      </c>
      <c r="H61" s="22" t="s">
        <v>203</v>
      </c>
      <c r="I61" s="22" t="s">
        <v>204</v>
      </c>
      <c r="J61" s="22"/>
      <c r="K61" s="24"/>
      <c r="L61" s="27">
        <v>1592</v>
      </c>
      <c r="M61" s="28">
        <v>0.06</v>
      </c>
      <c r="N61" s="29" t="s">
        <v>331</v>
      </c>
      <c r="O61" s="30">
        <v>1592</v>
      </c>
      <c r="P61" s="29" t="s">
        <v>331</v>
      </c>
      <c r="Q61" s="22" t="s">
        <v>103</v>
      </c>
      <c r="R61" s="22" t="s">
        <v>103</v>
      </c>
      <c r="S61" s="22" t="s">
        <v>152</v>
      </c>
      <c r="T61" s="22" t="s">
        <v>105</v>
      </c>
      <c r="U61" s="31"/>
      <c r="V61" s="24" t="s">
        <v>332</v>
      </c>
    </row>
    <row r="62" ht="14.25" spans="1:22">
      <c r="A62" s="21" t="s">
        <v>336</v>
      </c>
      <c r="B62" s="21" t="s">
        <v>337</v>
      </c>
      <c r="C62" s="22" t="s">
        <v>345</v>
      </c>
      <c r="D62" s="23" t="s">
        <v>346</v>
      </c>
      <c r="E62" s="21" t="s">
        <v>103</v>
      </c>
      <c r="F62" s="24" t="s">
        <v>347</v>
      </c>
      <c r="G62" s="22" t="s">
        <v>348</v>
      </c>
      <c r="H62" s="22" t="s">
        <v>203</v>
      </c>
      <c r="I62" s="22" t="s">
        <v>204</v>
      </c>
      <c r="J62" s="22"/>
      <c r="K62" s="24"/>
      <c r="L62" s="27">
        <v>2912</v>
      </c>
      <c r="M62" s="28">
        <v>0.06</v>
      </c>
      <c r="N62" s="29" t="s">
        <v>341</v>
      </c>
      <c r="O62" s="27">
        <v>2912</v>
      </c>
      <c r="P62" s="29" t="s">
        <v>341</v>
      </c>
      <c r="Q62" s="22" t="s">
        <v>103</v>
      </c>
      <c r="R62" s="22" t="s">
        <v>103</v>
      </c>
      <c r="S62" s="22" t="s">
        <v>152</v>
      </c>
      <c r="T62" s="22" t="s">
        <v>105</v>
      </c>
      <c r="U62" s="31"/>
      <c r="V62" s="32" t="s">
        <v>342</v>
      </c>
    </row>
    <row r="63" ht="14.25" spans="1:22">
      <c r="A63" s="21" t="s">
        <v>336</v>
      </c>
      <c r="B63" s="21" t="s">
        <v>337</v>
      </c>
      <c r="C63" s="22" t="s">
        <v>349</v>
      </c>
      <c r="D63" s="23" t="s">
        <v>350</v>
      </c>
      <c r="E63" s="21" t="s">
        <v>103</v>
      </c>
      <c r="F63" s="24" t="s">
        <v>316</v>
      </c>
      <c r="G63" s="22" t="s">
        <v>348</v>
      </c>
      <c r="H63" s="22" t="s">
        <v>203</v>
      </c>
      <c r="I63" s="22" t="s">
        <v>204</v>
      </c>
      <c r="J63" s="22"/>
      <c r="K63" s="24"/>
      <c r="L63" s="27">
        <v>2912</v>
      </c>
      <c r="M63" s="28">
        <v>0.06</v>
      </c>
      <c r="N63" s="29" t="s">
        <v>341</v>
      </c>
      <c r="O63" s="27">
        <v>2912</v>
      </c>
      <c r="P63" s="29" t="s">
        <v>341</v>
      </c>
      <c r="Q63" s="22" t="s">
        <v>103</v>
      </c>
      <c r="R63" s="22" t="s">
        <v>103</v>
      </c>
      <c r="S63" s="22" t="s">
        <v>152</v>
      </c>
      <c r="T63" s="22" t="s">
        <v>105</v>
      </c>
      <c r="U63" s="31"/>
      <c r="V63" s="32" t="s">
        <v>342</v>
      </c>
    </row>
    <row r="64" ht="14.25" spans="1:22">
      <c r="A64" s="21" t="s">
        <v>336</v>
      </c>
      <c r="B64" s="21" t="s">
        <v>337</v>
      </c>
      <c r="C64" s="22" t="s">
        <v>351</v>
      </c>
      <c r="D64" s="23" t="s">
        <v>352</v>
      </c>
      <c r="E64" s="21" t="s">
        <v>103</v>
      </c>
      <c r="F64" s="24" t="s">
        <v>316</v>
      </c>
      <c r="G64" s="22" t="s">
        <v>348</v>
      </c>
      <c r="H64" s="22" t="s">
        <v>203</v>
      </c>
      <c r="I64" s="22" t="s">
        <v>204</v>
      </c>
      <c r="J64" s="22"/>
      <c r="K64" s="24"/>
      <c r="L64" s="27">
        <v>2912</v>
      </c>
      <c r="M64" s="28">
        <v>0.06</v>
      </c>
      <c r="N64" s="29" t="s">
        <v>341</v>
      </c>
      <c r="O64" s="27">
        <v>2912</v>
      </c>
      <c r="P64" s="29" t="s">
        <v>341</v>
      </c>
      <c r="Q64" s="22" t="s">
        <v>103</v>
      </c>
      <c r="R64" s="22" t="s">
        <v>103</v>
      </c>
      <c r="S64" s="22" t="s">
        <v>152</v>
      </c>
      <c r="T64" s="22" t="s">
        <v>105</v>
      </c>
      <c r="U64" s="31"/>
      <c r="V64" s="32" t="s">
        <v>342</v>
      </c>
    </row>
    <row r="65" ht="14.25" spans="1:22">
      <c r="A65" s="21" t="s">
        <v>199</v>
      </c>
      <c r="B65" s="21" t="s">
        <v>200</v>
      </c>
      <c r="C65" s="22" t="s">
        <v>353</v>
      </c>
      <c r="D65" s="23" t="s">
        <v>354</v>
      </c>
      <c r="E65" s="21" t="s">
        <v>103</v>
      </c>
      <c r="F65" s="24" t="s">
        <v>316</v>
      </c>
      <c r="G65" s="22" t="s">
        <v>317</v>
      </c>
      <c r="H65" s="22" t="s">
        <v>203</v>
      </c>
      <c r="I65" s="22" t="s">
        <v>204</v>
      </c>
      <c r="J65" s="22" t="s">
        <v>355</v>
      </c>
      <c r="K65" s="24" t="s">
        <v>356</v>
      </c>
      <c r="L65" s="27">
        <v>1583</v>
      </c>
      <c r="M65" s="28">
        <v>0.06</v>
      </c>
      <c r="N65" s="29" t="s">
        <v>357</v>
      </c>
      <c r="O65" s="30">
        <v>1583</v>
      </c>
      <c r="P65" s="29" t="s">
        <v>357</v>
      </c>
      <c r="Q65" s="22" t="s">
        <v>103</v>
      </c>
      <c r="R65" s="22" t="s">
        <v>103</v>
      </c>
      <c r="S65" s="22" t="s">
        <v>152</v>
      </c>
      <c r="T65" s="22" t="s">
        <v>105</v>
      </c>
      <c r="U65" s="31"/>
      <c r="V65" s="24" t="s">
        <v>358</v>
      </c>
    </row>
    <row r="66" ht="14.25" spans="1:22">
      <c r="A66" s="21" t="s">
        <v>199</v>
      </c>
      <c r="B66" s="21" t="s">
        <v>200</v>
      </c>
      <c r="C66" s="22" t="s">
        <v>359</v>
      </c>
      <c r="D66" s="23" t="s">
        <v>360</v>
      </c>
      <c r="E66" s="21" t="s">
        <v>103</v>
      </c>
      <c r="F66" s="24" t="s">
        <v>316</v>
      </c>
      <c r="G66" s="22" t="s">
        <v>317</v>
      </c>
      <c r="H66" s="22" t="s">
        <v>203</v>
      </c>
      <c r="I66" s="22" t="s">
        <v>204</v>
      </c>
      <c r="J66" s="22" t="s">
        <v>355</v>
      </c>
      <c r="K66" s="24" t="s">
        <v>356</v>
      </c>
      <c r="L66" s="27">
        <v>1583</v>
      </c>
      <c r="M66" s="28">
        <v>0.06</v>
      </c>
      <c r="N66" s="29" t="s">
        <v>357</v>
      </c>
      <c r="O66" s="30">
        <v>1583</v>
      </c>
      <c r="P66" s="29" t="s">
        <v>357</v>
      </c>
      <c r="Q66" s="22" t="s">
        <v>103</v>
      </c>
      <c r="R66" s="22" t="s">
        <v>103</v>
      </c>
      <c r="S66" s="22" t="s">
        <v>152</v>
      </c>
      <c r="T66" s="22" t="s">
        <v>105</v>
      </c>
      <c r="U66" s="31"/>
      <c r="V66" s="24" t="s">
        <v>358</v>
      </c>
    </row>
    <row r="67" ht="14.25" spans="1:22">
      <c r="A67" s="21" t="s">
        <v>336</v>
      </c>
      <c r="B67" s="21" t="s">
        <v>337</v>
      </c>
      <c r="C67" s="22" t="s">
        <v>361</v>
      </c>
      <c r="D67" s="23" t="s">
        <v>362</v>
      </c>
      <c r="E67" s="21" t="s">
        <v>103</v>
      </c>
      <c r="F67" s="24" t="s">
        <v>182</v>
      </c>
      <c r="G67" s="22" t="s">
        <v>182</v>
      </c>
      <c r="H67" s="22" t="s">
        <v>363</v>
      </c>
      <c r="I67" s="22" t="s">
        <v>204</v>
      </c>
      <c r="J67" s="22"/>
      <c r="K67" s="24"/>
      <c r="L67" s="27">
        <v>2340</v>
      </c>
      <c r="M67" s="28">
        <v>0.06</v>
      </c>
      <c r="N67" s="29" t="s">
        <v>364</v>
      </c>
      <c r="O67" s="30">
        <v>2340</v>
      </c>
      <c r="P67" s="29" t="s">
        <v>364</v>
      </c>
      <c r="Q67" s="22" t="s">
        <v>94</v>
      </c>
      <c r="R67" s="22" t="s">
        <v>94</v>
      </c>
      <c r="S67" s="22" t="s">
        <v>152</v>
      </c>
      <c r="T67" s="22" t="s">
        <v>105</v>
      </c>
      <c r="U67" s="31"/>
      <c r="V67" s="24"/>
    </row>
    <row r="68" ht="14.25" spans="1:22">
      <c r="A68" s="21" t="s">
        <v>336</v>
      </c>
      <c r="B68" s="21" t="s">
        <v>337</v>
      </c>
      <c r="C68" s="22" t="s">
        <v>365</v>
      </c>
      <c r="D68" s="23" t="s">
        <v>366</v>
      </c>
      <c r="E68" s="21" t="s">
        <v>103</v>
      </c>
      <c r="F68" s="24" t="s">
        <v>367</v>
      </c>
      <c r="G68" s="22" t="s">
        <v>368</v>
      </c>
      <c r="H68" s="22" t="s">
        <v>363</v>
      </c>
      <c r="I68" s="22" t="s">
        <v>204</v>
      </c>
      <c r="J68" s="22" t="s">
        <v>369</v>
      </c>
      <c r="K68" s="24" t="s">
        <v>370</v>
      </c>
      <c r="L68" s="27">
        <v>2333</v>
      </c>
      <c r="M68" s="28">
        <v>0.06</v>
      </c>
      <c r="N68" s="29" t="s">
        <v>371</v>
      </c>
      <c r="O68" s="30">
        <v>2333</v>
      </c>
      <c r="P68" s="29" t="s">
        <v>371</v>
      </c>
      <c r="Q68" s="22" t="s">
        <v>103</v>
      </c>
      <c r="R68" s="22" t="s">
        <v>103</v>
      </c>
      <c r="S68" s="22" t="s">
        <v>152</v>
      </c>
      <c r="T68" s="22" t="s">
        <v>105</v>
      </c>
      <c r="U68" s="31"/>
      <c r="V68" s="24"/>
    </row>
    <row r="69" ht="14.25" spans="1:22">
      <c r="A69" s="21" t="s">
        <v>336</v>
      </c>
      <c r="B69" s="21" t="s">
        <v>337</v>
      </c>
      <c r="C69" s="22" t="s">
        <v>372</v>
      </c>
      <c r="D69" s="23" t="s">
        <v>373</v>
      </c>
      <c r="E69" s="21" t="s">
        <v>103</v>
      </c>
      <c r="F69" s="24" t="s">
        <v>347</v>
      </c>
      <c r="G69" s="22" t="s">
        <v>374</v>
      </c>
      <c r="H69" s="22" t="s">
        <v>363</v>
      </c>
      <c r="I69" s="22" t="s">
        <v>204</v>
      </c>
      <c r="J69" s="22" t="s">
        <v>375</v>
      </c>
      <c r="K69" s="24" t="s">
        <v>373</v>
      </c>
      <c r="L69" s="27">
        <v>2333</v>
      </c>
      <c r="M69" s="28">
        <v>0.06</v>
      </c>
      <c r="N69" s="29" t="s">
        <v>371</v>
      </c>
      <c r="O69" s="30">
        <v>2333</v>
      </c>
      <c r="P69" s="29" t="s">
        <v>371</v>
      </c>
      <c r="Q69" s="22" t="s">
        <v>103</v>
      </c>
      <c r="R69" s="22" t="s">
        <v>103</v>
      </c>
      <c r="S69" s="22" t="s">
        <v>152</v>
      </c>
      <c r="T69" s="22" t="s">
        <v>105</v>
      </c>
      <c r="U69" s="31"/>
      <c r="V69" s="24"/>
    </row>
    <row r="70" ht="14.25" spans="1:22">
      <c r="A70" s="21" t="s">
        <v>336</v>
      </c>
      <c r="B70" s="21" t="s">
        <v>337</v>
      </c>
      <c r="C70" s="22" t="s">
        <v>376</v>
      </c>
      <c r="D70" s="23" t="s">
        <v>377</v>
      </c>
      <c r="E70" s="21" t="s">
        <v>103</v>
      </c>
      <c r="F70" s="24" t="s">
        <v>347</v>
      </c>
      <c r="G70" s="22" t="s">
        <v>374</v>
      </c>
      <c r="H70" s="22" t="s">
        <v>363</v>
      </c>
      <c r="I70" s="22" t="s">
        <v>204</v>
      </c>
      <c r="J70" s="22" t="s">
        <v>378</v>
      </c>
      <c r="K70" s="24" t="s">
        <v>379</v>
      </c>
      <c r="L70" s="27">
        <v>2333</v>
      </c>
      <c r="M70" s="28">
        <v>0.06</v>
      </c>
      <c r="N70" s="29" t="s">
        <v>371</v>
      </c>
      <c r="O70" s="30">
        <v>2333</v>
      </c>
      <c r="P70" s="29" t="s">
        <v>371</v>
      </c>
      <c r="Q70" s="22" t="s">
        <v>103</v>
      </c>
      <c r="R70" s="22" t="s">
        <v>103</v>
      </c>
      <c r="S70" s="22" t="s">
        <v>152</v>
      </c>
      <c r="T70" s="22" t="s">
        <v>105</v>
      </c>
      <c r="U70" s="31"/>
      <c r="V70" s="24"/>
    </row>
    <row r="71" ht="14.25" spans="1:22">
      <c r="A71" s="21" t="s">
        <v>336</v>
      </c>
      <c r="B71" s="21" t="s">
        <v>337</v>
      </c>
      <c r="C71" s="22" t="s">
        <v>380</v>
      </c>
      <c r="D71" s="23" t="s">
        <v>381</v>
      </c>
      <c r="E71" s="21" t="s">
        <v>103</v>
      </c>
      <c r="F71" s="24" t="s">
        <v>347</v>
      </c>
      <c r="G71" s="22" t="s">
        <v>374</v>
      </c>
      <c r="H71" s="22" t="s">
        <v>363</v>
      </c>
      <c r="I71" s="22" t="s">
        <v>204</v>
      </c>
      <c r="J71" s="22" t="s">
        <v>378</v>
      </c>
      <c r="K71" s="24" t="s">
        <v>379</v>
      </c>
      <c r="L71" s="27">
        <v>2333</v>
      </c>
      <c r="M71" s="28">
        <v>0.06</v>
      </c>
      <c r="N71" s="29" t="s">
        <v>371</v>
      </c>
      <c r="O71" s="30">
        <v>2333</v>
      </c>
      <c r="P71" s="29" t="s">
        <v>371</v>
      </c>
      <c r="Q71" s="22" t="s">
        <v>103</v>
      </c>
      <c r="R71" s="22" t="s">
        <v>103</v>
      </c>
      <c r="S71" s="22" t="s">
        <v>152</v>
      </c>
      <c r="T71" s="22" t="s">
        <v>105</v>
      </c>
      <c r="U71" s="31"/>
      <c r="V71" s="24"/>
    </row>
    <row r="72" ht="14.25" spans="1:22">
      <c r="A72" s="21" t="s">
        <v>336</v>
      </c>
      <c r="B72" s="21" t="s">
        <v>337</v>
      </c>
      <c r="C72" s="22" t="s">
        <v>382</v>
      </c>
      <c r="D72" s="23" t="s">
        <v>383</v>
      </c>
      <c r="E72" s="21" t="s">
        <v>103</v>
      </c>
      <c r="F72" s="24" t="s">
        <v>347</v>
      </c>
      <c r="G72" s="22" t="s">
        <v>374</v>
      </c>
      <c r="H72" s="22" t="s">
        <v>363</v>
      </c>
      <c r="I72" s="22" t="s">
        <v>204</v>
      </c>
      <c r="J72" s="22" t="s">
        <v>378</v>
      </c>
      <c r="K72" s="24" t="s">
        <v>379</v>
      </c>
      <c r="L72" s="27">
        <v>2333</v>
      </c>
      <c r="M72" s="28">
        <v>0.06</v>
      </c>
      <c r="N72" s="29" t="s">
        <v>371</v>
      </c>
      <c r="O72" s="30">
        <v>2333</v>
      </c>
      <c r="P72" s="29" t="s">
        <v>371</v>
      </c>
      <c r="Q72" s="22" t="s">
        <v>103</v>
      </c>
      <c r="R72" s="22" t="s">
        <v>103</v>
      </c>
      <c r="S72" s="22" t="s">
        <v>152</v>
      </c>
      <c r="T72" s="22" t="s">
        <v>105</v>
      </c>
      <c r="U72" s="31"/>
      <c r="V72" s="24"/>
    </row>
    <row r="73" ht="28.5" spans="1:22">
      <c r="A73" s="21" t="s">
        <v>336</v>
      </c>
      <c r="B73" s="21" t="s">
        <v>337</v>
      </c>
      <c r="C73" s="22" t="s">
        <v>384</v>
      </c>
      <c r="D73" s="23" t="s">
        <v>385</v>
      </c>
      <c r="E73" s="21" t="s">
        <v>103</v>
      </c>
      <c r="F73" s="24" t="s">
        <v>182</v>
      </c>
      <c r="G73" s="22" t="s">
        <v>182</v>
      </c>
      <c r="H73" s="22" t="s">
        <v>363</v>
      </c>
      <c r="I73" s="22" t="s">
        <v>204</v>
      </c>
      <c r="J73" s="22"/>
      <c r="K73" s="24"/>
      <c r="L73" s="27">
        <v>1815</v>
      </c>
      <c r="M73" s="28">
        <v>0.06</v>
      </c>
      <c r="N73" s="29" t="s">
        <v>386</v>
      </c>
      <c r="O73" s="30" t="s">
        <v>387</v>
      </c>
      <c r="P73" s="29" t="s">
        <v>388</v>
      </c>
      <c r="Q73" s="22" t="s">
        <v>94</v>
      </c>
      <c r="R73" s="22" t="s">
        <v>103</v>
      </c>
      <c r="S73" s="22" t="s">
        <v>152</v>
      </c>
      <c r="T73" s="22" t="s">
        <v>105</v>
      </c>
      <c r="U73" s="31"/>
      <c r="V73" s="24" t="s">
        <v>389</v>
      </c>
    </row>
    <row r="74" ht="14.25" spans="1:22">
      <c r="A74" s="21" t="s">
        <v>336</v>
      </c>
      <c r="B74" s="21" t="s">
        <v>337</v>
      </c>
      <c r="C74" s="22" t="s">
        <v>390</v>
      </c>
      <c r="D74" s="23" t="s">
        <v>391</v>
      </c>
      <c r="E74" s="21" t="s">
        <v>103</v>
      </c>
      <c r="F74" s="24" t="s">
        <v>392</v>
      </c>
      <c r="G74" s="22" t="s">
        <v>348</v>
      </c>
      <c r="H74" s="22" t="s">
        <v>363</v>
      </c>
      <c r="I74" s="22" t="s">
        <v>204</v>
      </c>
      <c r="J74" s="22" t="s">
        <v>393</v>
      </c>
      <c r="K74" s="24" t="s">
        <v>394</v>
      </c>
      <c r="L74" s="27">
        <v>2347</v>
      </c>
      <c r="M74" s="28">
        <v>0.06</v>
      </c>
      <c r="N74" s="29" t="s">
        <v>395</v>
      </c>
      <c r="O74" s="30">
        <v>2347</v>
      </c>
      <c r="P74" s="29" t="s">
        <v>395</v>
      </c>
      <c r="Q74" s="22" t="s">
        <v>103</v>
      </c>
      <c r="R74" s="22" t="s">
        <v>103</v>
      </c>
      <c r="S74" s="22" t="s">
        <v>152</v>
      </c>
      <c r="T74" s="22" t="s">
        <v>105</v>
      </c>
      <c r="U74" s="31"/>
      <c r="V74" s="24"/>
    </row>
    <row r="75" ht="14.25" spans="1:22">
      <c r="A75" s="21" t="s">
        <v>336</v>
      </c>
      <c r="B75" s="21" t="s">
        <v>337</v>
      </c>
      <c r="C75" s="22" t="s">
        <v>396</v>
      </c>
      <c r="D75" s="23" t="s">
        <v>397</v>
      </c>
      <c r="E75" s="21" t="s">
        <v>103</v>
      </c>
      <c r="F75" s="24" t="s">
        <v>182</v>
      </c>
      <c r="G75" s="22" t="s">
        <v>182</v>
      </c>
      <c r="H75" s="22" t="s">
        <v>363</v>
      </c>
      <c r="I75" s="22" t="s">
        <v>204</v>
      </c>
      <c r="J75" s="22" t="s">
        <v>398</v>
      </c>
      <c r="K75" s="24" t="s">
        <v>397</v>
      </c>
      <c r="L75" s="27">
        <v>2353</v>
      </c>
      <c r="M75" s="28">
        <v>0.06</v>
      </c>
      <c r="N75" s="29" t="s">
        <v>399</v>
      </c>
      <c r="O75" s="30">
        <v>2353</v>
      </c>
      <c r="P75" s="29" t="s">
        <v>399</v>
      </c>
      <c r="Q75" s="22" t="s">
        <v>400</v>
      </c>
      <c r="R75" s="22" t="s">
        <v>103</v>
      </c>
      <c r="S75" s="22" t="s">
        <v>152</v>
      </c>
      <c r="T75" s="22" t="s">
        <v>105</v>
      </c>
      <c r="U75" s="31"/>
      <c r="V75" s="24"/>
    </row>
    <row r="76" s="15" customFormat="1" ht="14.25" spans="1:22">
      <c r="A76" s="21" t="s">
        <v>336</v>
      </c>
      <c r="B76" s="21" t="s">
        <v>337</v>
      </c>
      <c r="C76" s="22" t="s">
        <v>401</v>
      </c>
      <c r="D76" s="23" t="s">
        <v>402</v>
      </c>
      <c r="E76" s="21" t="s">
        <v>103</v>
      </c>
      <c r="F76" s="24" t="s">
        <v>182</v>
      </c>
      <c r="G76" s="22" t="s">
        <v>182</v>
      </c>
      <c r="H76" s="22" t="s">
        <v>363</v>
      </c>
      <c r="I76" s="22" t="s">
        <v>204</v>
      </c>
      <c r="J76" s="22"/>
      <c r="K76" s="24"/>
      <c r="L76" s="27">
        <v>1947</v>
      </c>
      <c r="M76" s="28">
        <v>0.06</v>
      </c>
      <c r="N76" s="29" t="s">
        <v>403</v>
      </c>
      <c r="O76" s="30" t="s">
        <v>404</v>
      </c>
      <c r="P76" s="29" t="s">
        <v>405</v>
      </c>
      <c r="Q76" s="22" t="s">
        <v>94</v>
      </c>
      <c r="R76" s="22" t="s">
        <v>103</v>
      </c>
      <c r="S76" s="22" t="s">
        <v>152</v>
      </c>
      <c r="T76" s="22" t="s">
        <v>105</v>
      </c>
      <c r="U76" s="31"/>
      <c r="V76" s="24" t="s">
        <v>406</v>
      </c>
    </row>
    <row r="77" ht="14.25" spans="1:22">
      <c r="A77" s="21" t="s">
        <v>336</v>
      </c>
      <c r="B77" s="21" t="s">
        <v>337</v>
      </c>
      <c r="C77" s="22" t="s">
        <v>407</v>
      </c>
      <c r="D77" s="23" t="s">
        <v>408</v>
      </c>
      <c r="E77" s="21" t="s">
        <v>103</v>
      </c>
      <c r="F77" s="24" t="s">
        <v>316</v>
      </c>
      <c r="G77" s="22" t="s">
        <v>409</v>
      </c>
      <c r="H77" s="22" t="s">
        <v>363</v>
      </c>
      <c r="I77" s="22" t="s">
        <v>204</v>
      </c>
      <c r="J77" s="22" t="s">
        <v>410</v>
      </c>
      <c r="K77" s="24" t="s">
        <v>411</v>
      </c>
      <c r="L77" s="27">
        <v>2334</v>
      </c>
      <c r="M77" s="28">
        <v>0.06</v>
      </c>
      <c r="N77" s="29" t="s">
        <v>412</v>
      </c>
      <c r="O77" s="30">
        <v>2334</v>
      </c>
      <c r="P77" s="29" t="s">
        <v>412</v>
      </c>
      <c r="Q77" s="22" t="s">
        <v>103</v>
      </c>
      <c r="R77" s="22" t="s">
        <v>103</v>
      </c>
      <c r="S77" s="22" t="s">
        <v>152</v>
      </c>
      <c r="T77" s="22" t="s">
        <v>105</v>
      </c>
      <c r="U77" s="31"/>
      <c r="V77" s="24"/>
    </row>
    <row r="78" ht="14.25" spans="1:22">
      <c r="A78" s="21" t="s">
        <v>336</v>
      </c>
      <c r="B78" s="21" t="s">
        <v>337</v>
      </c>
      <c r="C78" s="22" t="s">
        <v>413</v>
      </c>
      <c r="D78" s="23" t="s">
        <v>414</v>
      </c>
      <c r="E78" s="21" t="s">
        <v>103</v>
      </c>
      <c r="F78" s="24" t="s">
        <v>182</v>
      </c>
      <c r="G78" s="22" t="s">
        <v>182</v>
      </c>
      <c r="H78" s="22" t="s">
        <v>363</v>
      </c>
      <c r="I78" s="22" t="s">
        <v>204</v>
      </c>
      <c r="J78" s="22"/>
      <c r="K78" s="24"/>
      <c r="L78" s="27">
        <v>2912</v>
      </c>
      <c r="M78" s="28">
        <v>0.06</v>
      </c>
      <c r="N78" s="29" t="s">
        <v>341</v>
      </c>
      <c r="O78" s="27">
        <v>2912</v>
      </c>
      <c r="P78" s="29" t="s">
        <v>341</v>
      </c>
      <c r="Q78" s="22" t="s">
        <v>94</v>
      </c>
      <c r="R78" s="22" t="s">
        <v>103</v>
      </c>
      <c r="S78" s="22" t="s">
        <v>152</v>
      </c>
      <c r="T78" s="22" t="s">
        <v>105</v>
      </c>
      <c r="U78" s="31"/>
      <c r="V78" s="32" t="s">
        <v>342</v>
      </c>
    </row>
    <row r="79" ht="14.25" spans="1:22">
      <c r="A79" s="21" t="s">
        <v>415</v>
      </c>
      <c r="B79" s="21" t="s">
        <v>416</v>
      </c>
      <c r="C79" s="22" t="s">
        <v>417</v>
      </c>
      <c r="D79" s="23" t="s">
        <v>418</v>
      </c>
      <c r="E79" s="21" t="s">
        <v>103</v>
      </c>
      <c r="F79" s="24" t="s">
        <v>316</v>
      </c>
      <c r="G79" s="22" t="s">
        <v>419</v>
      </c>
      <c r="H79" s="22" t="s">
        <v>420</v>
      </c>
      <c r="I79" s="22" t="s">
        <v>420</v>
      </c>
      <c r="J79" s="22" t="s">
        <v>421</v>
      </c>
      <c r="K79" s="24" t="s">
        <v>422</v>
      </c>
      <c r="L79" s="27">
        <v>1424</v>
      </c>
      <c r="M79" s="28">
        <v>0.06</v>
      </c>
      <c r="N79" s="29" t="s">
        <v>423</v>
      </c>
      <c r="O79" s="30" t="s">
        <v>424</v>
      </c>
      <c r="P79" s="29" t="s">
        <v>425</v>
      </c>
      <c r="Q79" s="22" t="s">
        <v>103</v>
      </c>
      <c r="R79" s="22" t="s">
        <v>94</v>
      </c>
      <c r="S79" s="22" t="s">
        <v>152</v>
      </c>
      <c r="T79" s="22" t="s">
        <v>105</v>
      </c>
      <c r="U79" s="31"/>
      <c r="V79" s="24"/>
    </row>
    <row r="80" ht="14.25" spans="1:22">
      <c r="A80" s="21" t="s">
        <v>415</v>
      </c>
      <c r="B80" s="21" t="s">
        <v>416</v>
      </c>
      <c r="C80" s="22" t="s">
        <v>426</v>
      </c>
      <c r="D80" s="23" t="s">
        <v>427</v>
      </c>
      <c r="E80" s="21" t="s">
        <v>103</v>
      </c>
      <c r="F80" s="24" t="s">
        <v>347</v>
      </c>
      <c r="G80" s="22" t="s">
        <v>428</v>
      </c>
      <c r="H80" s="22" t="s">
        <v>420</v>
      </c>
      <c r="I80" s="22" t="s">
        <v>420</v>
      </c>
      <c r="J80" s="22" t="s">
        <v>429</v>
      </c>
      <c r="K80" s="24" t="s">
        <v>430</v>
      </c>
      <c r="L80" s="27">
        <v>1426</v>
      </c>
      <c r="M80" s="28">
        <v>0.06</v>
      </c>
      <c r="N80" s="29" t="s">
        <v>431</v>
      </c>
      <c r="O80" s="30" t="s">
        <v>432</v>
      </c>
      <c r="P80" s="29" t="s">
        <v>433</v>
      </c>
      <c r="Q80" s="22" t="s">
        <v>103</v>
      </c>
      <c r="R80" s="22" t="s">
        <v>94</v>
      </c>
      <c r="S80" s="22" t="s">
        <v>152</v>
      </c>
      <c r="T80" s="22" t="s">
        <v>105</v>
      </c>
      <c r="U80" s="31"/>
      <c r="V80" s="24"/>
    </row>
    <row r="81" ht="28.5" spans="1:22">
      <c r="A81" s="21" t="s">
        <v>415</v>
      </c>
      <c r="B81" s="21" t="s">
        <v>416</v>
      </c>
      <c r="C81" s="22" t="s">
        <v>434</v>
      </c>
      <c r="D81" s="23" t="s">
        <v>435</v>
      </c>
      <c r="E81" s="21" t="s">
        <v>103</v>
      </c>
      <c r="F81" s="24" t="s">
        <v>182</v>
      </c>
      <c r="G81" s="22" t="s">
        <v>182</v>
      </c>
      <c r="H81" s="22" t="s">
        <v>420</v>
      </c>
      <c r="I81" s="22" t="s">
        <v>420</v>
      </c>
      <c r="J81" s="22"/>
      <c r="K81" s="24"/>
      <c r="L81" s="27">
        <v>1437</v>
      </c>
      <c r="M81" s="28">
        <v>0.06</v>
      </c>
      <c r="N81" s="29" t="s">
        <v>436</v>
      </c>
      <c r="O81" s="30" t="s">
        <v>437</v>
      </c>
      <c r="P81" s="29" t="s">
        <v>438</v>
      </c>
      <c r="Q81" s="22" t="s">
        <v>103</v>
      </c>
      <c r="R81" s="22" t="s">
        <v>94</v>
      </c>
      <c r="S81" s="22" t="s">
        <v>152</v>
      </c>
      <c r="T81" s="22" t="s">
        <v>105</v>
      </c>
      <c r="U81" s="31"/>
      <c r="V81" s="24" t="s">
        <v>439</v>
      </c>
    </row>
    <row r="82" ht="14.25" spans="1:22">
      <c r="A82" s="21" t="s">
        <v>440</v>
      </c>
      <c r="B82" s="21" t="s">
        <v>441</v>
      </c>
      <c r="C82" s="22" t="s">
        <v>442</v>
      </c>
      <c r="D82" s="23" t="s">
        <v>443</v>
      </c>
      <c r="E82" s="21" t="s">
        <v>103</v>
      </c>
      <c r="F82" s="24" t="s">
        <v>182</v>
      </c>
      <c r="G82" s="22" t="s">
        <v>182</v>
      </c>
      <c r="H82" s="22" t="s">
        <v>444</v>
      </c>
      <c r="I82" s="22" t="s">
        <v>204</v>
      </c>
      <c r="J82" s="22"/>
      <c r="K82" s="24"/>
      <c r="L82" s="27">
        <v>2777</v>
      </c>
      <c r="M82" s="28">
        <v>0.06</v>
      </c>
      <c r="N82" s="29" t="s">
        <v>445</v>
      </c>
      <c r="O82" s="30">
        <v>2777</v>
      </c>
      <c r="P82" s="29" t="s">
        <v>445</v>
      </c>
      <c r="Q82" s="22" t="s">
        <v>94</v>
      </c>
      <c r="R82" s="22" t="s">
        <v>94</v>
      </c>
      <c r="S82" s="22" t="s">
        <v>152</v>
      </c>
      <c r="T82" s="22" t="s">
        <v>105</v>
      </c>
      <c r="U82" s="31"/>
      <c r="V82" s="24" t="s">
        <v>446</v>
      </c>
    </row>
    <row r="83" ht="14.25" spans="1:22">
      <c r="A83" s="21" t="s">
        <v>440</v>
      </c>
      <c r="B83" s="21" t="s">
        <v>441</v>
      </c>
      <c r="C83" s="22" t="s">
        <v>447</v>
      </c>
      <c r="D83" s="23" t="s">
        <v>448</v>
      </c>
      <c r="E83" s="21" t="s">
        <v>103</v>
      </c>
      <c r="F83" s="24" t="s">
        <v>182</v>
      </c>
      <c r="G83" s="22" t="s">
        <v>182</v>
      </c>
      <c r="H83" s="22" t="s">
        <v>444</v>
      </c>
      <c r="I83" s="22" t="s">
        <v>204</v>
      </c>
      <c r="J83" s="22"/>
      <c r="K83" s="24"/>
      <c r="L83" s="27">
        <v>2777</v>
      </c>
      <c r="M83" s="28">
        <v>0.06</v>
      </c>
      <c r="N83" s="29" t="s">
        <v>445</v>
      </c>
      <c r="O83" s="30">
        <v>2777</v>
      </c>
      <c r="P83" s="29" t="s">
        <v>445</v>
      </c>
      <c r="Q83" s="22"/>
      <c r="R83" s="22"/>
      <c r="S83" s="22" t="s">
        <v>152</v>
      </c>
      <c r="T83" s="22" t="s">
        <v>105</v>
      </c>
      <c r="U83" s="31"/>
      <c r="V83" s="24" t="s">
        <v>446</v>
      </c>
    </row>
    <row r="84" ht="14.25" spans="1:22">
      <c r="A84" s="21" t="s">
        <v>440</v>
      </c>
      <c r="B84" s="21" t="s">
        <v>441</v>
      </c>
      <c r="C84" s="22" t="s">
        <v>449</v>
      </c>
      <c r="D84" s="23" t="s">
        <v>450</v>
      </c>
      <c r="E84" s="21" t="s">
        <v>103</v>
      </c>
      <c r="F84" s="24" t="s">
        <v>182</v>
      </c>
      <c r="G84" s="22" t="s">
        <v>182</v>
      </c>
      <c r="H84" s="22" t="s">
        <v>444</v>
      </c>
      <c r="I84" s="22" t="s">
        <v>204</v>
      </c>
      <c r="J84" s="22"/>
      <c r="K84" s="24"/>
      <c r="L84" s="27">
        <v>2777</v>
      </c>
      <c r="M84" s="28">
        <v>0.06</v>
      </c>
      <c r="N84" s="29" t="s">
        <v>445</v>
      </c>
      <c r="O84" s="30">
        <v>2777</v>
      </c>
      <c r="P84" s="29" t="s">
        <v>445</v>
      </c>
      <c r="Q84" s="22"/>
      <c r="R84" s="22"/>
      <c r="S84" s="22" t="s">
        <v>152</v>
      </c>
      <c r="T84" s="22" t="s">
        <v>105</v>
      </c>
      <c r="U84" s="31"/>
      <c r="V84" s="24" t="s">
        <v>446</v>
      </c>
    </row>
    <row r="85" ht="14.25" spans="1:22">
      <c r="A85" s="21" t="s">
        <v>440</v>
      </c>
      <c r="B85" s="21" t="s">
        <v>441</v>
      </c>
      <c r="C85" s="22" t="s">
        <v>451</v>
      </c>
      <c r="D85" s="23" t="s">
        <v>452</v>
      </c>
      <c r="E85" s="21" t="s">
        <v>103</v>
      </c>
      <c r="F85" s="24" t="s">
        <v>182</v>
      </c>
      <c r="G85" s="22" t="s">
        <v>182</v>
      </c>
      <c r="H85" s="22" t="s">
        <v>444</v>
      </c>
      <c r="I85" s="22" t="s">
        <v>204</v>
      </c>
      <c r="J85" s="22"/>
      <c r="K85" s="24"/>
      <c r="L85" s="27">
        <v>2777</v>
      </c>
      <c r="M85" s="28">
        <v>0.06</v>
      </c>
      <c r="N85" s="29" t="s">
        <v>445</v>
      </c>
      <c r="O85" s="30">
        <v>2777</v>
      </c>
      <c r="P85" s="29" t="s">
        <v>445</v>
      </c>
      <c r="Q85" s="22"/>
      <c r="R85" s="22"/>
      <c r="S85" s="22" t="s">
        <v>152</v>
      </c>
      <c r="T85" s="22" t="s">
        <v>105</v>
      </c>
      <c r="U85" s="31"/>
      <c r="V85" s="24" t="s">
        <v>446</v>
      </c>
    </row>
    <row r="86" ht="14.25" spans="1:22">
      <c r="A86" s="21" t="s">
        <v>336</v>
      </c>
      <c r="B86" s="21" t="s">
        <v>337</v>
      </c>
      <c r="C86" s="22" t="s">
        <v>453</v>
      </c>
      <c r="D86" s="23" t="s">
        <v>454</v>
      </c>
      <c r="E86" s="21" t="s">
        <v>103</v>
      </c>
      <c r="F86" s="24" t="s">
        <v>316</v>
      </c>
      <c r="G86" s="22" t="s">
        <v>455</v>
      </c>
      <c r="H86" s="22" t="s">
        <v>363</v>
      </c>
      <c r="I86" s="22" t="s">
        <v>204</v>
      </c>
      <c r="J86" s="22"/>
      <c r="K86" s="24"/>
      <c r="L86" s="27">
        <v>1653</v>
      </c>
      <c r="M86" s="28">
        <v>0.06</v>
      </c>
      <c r="N86" s="29" t="s">
        <v>456</v>
      </c>
      <c r="O86" s="30" t="s">
        <v>457</v>
      </c>
      <c r="P86" s="29" t="s">
        <v>458</v>
      </c>
      <c r="Q86" s="22" t="s">
        <v>103</v>
      </c>
      <c r="R86" s="22" t="s">
        <v>103</v>
      </c>
      <c r="S86" s="22" t="s">
        <v>152</v>
      </c>
      <c r="T86" s="22" t="s">
        <v>105</v>
      </c>
      <c r="U86" s="31"/>
      <c r="V86" s="24" t="s">
        <v>459</v>
      </c>
    </row>
    <row r="87" ht="14.25" spans="1:22">
      <c r="A87" s="21" t="s">
        <v>199</v>
      </c>
      <c r="B87" s="21" t="s">
        <v>200</v>
      </c>
      <c r="C87" s="22" t="s">
        <v>460</v>
      </c>
      <c r="D87" s="23" t="s">
        <v>461</v>
      </c>
      <c r="E87" s="21" t="s">
        <v>103</v>
      </c>
      <c r="F87" s="24" t="s">
        <v>316</v>
      </c>
      <c r="G87" s="22" t="s">
        <v>462</v>
      </c>
      <c r="H87" s="22" t="s">
        <v>204</v>
      </c>
      <c r="I87" s="22" t="s">
        <v>204</v>
      </c>
      <c r="J87" s="22"/>
      <c r="K87" s="24"/>
      <c r="L87" s="27">
        <v>1653</v>
      </c>
      <c r="M87" s="28">
        <v>0.06</v>
      </c>
      <c r="N87" s="29" t="s">
        <v>456</v>
      </c>
      <c r="O87" s="30">
        <v>1653</v>
      </c>
      <c r="P87" s="29" t="s">
        <v>456</v>
      </c>
      <c r="Q87" s="22" t="s">
        <v>103</v>
      </c>
      <c r="R87" s="22" t="s">
        <v>103</v>
      </c>
      <c r="S87" s="22" t="s">
        <v>152</v>
      </c>
      <c r="T87" s="22" t="s">
        <v>105</v>
      </c>
      <c r="U87" s="31"/>
      <c r="V87" s="24"/>
    </row>
    <row r="88" ht="14.25" spans="1:22">
      <c r="A88" s="21" t="s">
        <v>199</v>
      </c>
      <c r="B88" s="21" t="s">
        <v>200</v>
      </c>
      <c r="C88" s="22" t="s">
        <v>463</v>
      </c>
      <c r="D88" s="23" t="s">
        <v>464</v>
      </c>
      <c r="E88" s="21" t="s">
        <v>103</v>
      </c>
      <c r="F88" s="24" t="s">
        <v>316</v>
      </c>
      <c r="G88" s="22" t="s">
        <v>465</v>
      </c>
      <c r="H88" s="22" t="s">
        <v>466</v>
      </c>
      <c r="I88" s="22" t="s">
        <v>204</v>
      </c>
      <c r="J88" s="22" t="s">
        <v>467</v>
      </c>
      <c r="K88" s="24" t="s">
        <v>468</v>
      </c>
      <c r="L88" s="27">
        <v>1650</v>
      </c>
      <c r="M88" s="28">
        <v>0.06</v>
      </c>
      <c r="N88" s="29" t="s">
        <v>469</v>
      </c>
      <c r="O88" s="30">
        <v>1650</v>
      </c>
      <c r="P88" s="29" t="s">
        <v>469</v>
      </c>
      <c r="Q88" s="22" t="s">
        <v>94</v>
      </c>
      <c r="R88" s="22" t="s">
        <v>103</v>
      </c>
      <c r="S88" s="22" t="s">
        <v>152</v>
      </c>
      <c r="T88" s="22" t="s">
        <v>105</v>
      </c>
      <c r="U88" s="31"/>
      <c r="V88" s="24" t="s">
        <v>470</v>
      </c>
    </row>
    <row r="89" ht="14.25" spans="1:22">
      <c r="A89" s="21" t="s">
        <v>471</v>
      </c>
      <c r="B89" s="21" t="s">
        <v>472</v>
      </c>
      <c r="C89" s="22" t="s">
        <v>473</v>
      </c>
      <c r="D89" s="23" t="s">
        <v>474</v>
      </c>
      <c r="E89" s="21" t="s">
        <v>103</v>
      </c>
      <c r="F89" s="24" t="s">
        <v>316</v>
      </c>
      <c r="G89" s="22" t="s">
        <v>475</v>
      </c>
      <c r="H89" s="22" t="s">
        <v>313</v>
      </c>
      <c r="I89" s="22" t="s">
        <v>204</v>
      </c>
      <c r="J89" s="22" t="s">
        <v>476</v>
      </c>
      <c r="K89" s="24" t="s">
        <v>477</v>
      </c>
      <c r="L89" s="27">
        <v>1706</v>
      </c>
      <c r="M89" s="28">
        <v>0.06</v>
      </c>
      <c r="N89" s="29" t="s">
        <v>478</v>
      </c>
      <c r="O89" s="30">
        <v>1706</v>
      </c>
      <c r="P89" s="29" t="s">
        <v>478</v>
      </c>
      <c r="Q89" s="22" t="s">
        <v>94</v>
      </c>
      <c r="R89" s="22" t="s">
        <v>103</v>
      </c>
      <c r="S89" s="22" t="s">
        <v>152</v>
      </c>
      <c r="T89" s="22" t="s">
        <v>105</v>
      </c>
      <c r="U89" s="31"/>
      <c r="V89" s="24"/>
    </row>
    <row r="90" ht="14.25" spans="1:22">
      <c r="A90" s="21" t="s">
        <v>336</v>
      </c>
      <c r="B90" s="21" t="s">
        <v>337</v>
      </c>
      <c r="C90" s="22" t="s">
        <v>479</v>
      </c>
      <c r="D90" s="23" t="s">
        <v>480</v>
      </c>
      <c r="E90" s="21" t="s">
        <v>103</v>
      </c>
      <c r="F90" s="24" t="s">
        <v>316</v>
      </c>
      <c r="G90" s="22" t="s">
        <v>481</v>
      </c>
      <c r="H90" s="22" t="s">
        <v>313</v>
      </c>
      <c r="I90" s="22" t="s">
        <v>204</v>
      </c>
      <c r="J90" s="22" t="s">
        <v>476</v>
      </c>
      <c r="K90" s="24" t="s">
        <v>477</v>
      </c>
      <c r="L90" s="27">
        <v>1911</v>
      </c>
      <c r="M90" s="28">
        <v>0.06</v>
      </c>
      <c r="N90" s="29" t="s">
        <v>482</v>
      </c>
      <c r="O90" s="30">
        <v>1911</v>
      </c>
      <c r="P90" s="29" t="s">
        <v>482</v>
      </c>
      <c r="Q90" s="22" t="s">
        <v>94</v>
      </c>
      <c r="R90" s="22" t="s">
        <v>103</v>
      </c>
      <c r="S90" s="22" t="s">
        <v>152</v>
      </c>
      <c r="T90" s="22" t="s">
        <v>105</v>
      </c>
      <c r="U90" s="31"/>
      <c r="V90" s="24"/>
    </row>
    <row r="91" ht="14.25" spans="1:22">
      <c r="A91" s="21" t="s">
        <v>471</v>
      </c>
      <c r="B91" s="21" t="s">
        <v>472</v>
      </c>
      <c r="C91" s="22" t="s">
        <v>483</v>
      </c>
      <c r="D91" s="23" t="s">
        <v>484</v>
      </c>
      <c r="E91" s="21" t="s">
        <v>103</v>
      </c>
      <c r="F91" s="24" t="s">
        <v>182</v>
      </c>
      <c r="G91" s="22" t="s">
        <v>182</v>
      </c>
      <c r="H91" s="22" t="s">
        <v>313</v>
      </c>
      <c r="I91" s="22" t="s">
        <v>204</v>
      </c>
      <c r="J91" s="22"/>
      <c r="K91" s="24"/>
      <c r="L91" s="27">
        <v>1950</v>
      </c>
      <c r="M91" s="28">
        <v>0.06</v>
      </c>
      <c r="N91" s="29" t="s">
        <v>485</v>
      </c>
      <c r="O91" s="30">
        <v>1950</v>
      </c>
      <c r="P91" s="29" t="s">
        <v>485</v>
      </c>
      <c r="Q91" s="22" t="s">
        <v>94</v>
      </c>
      <c r="R91" s="22" t="s">
        <v>103</v>
      </c>
      <c r="S91" s="22" t="s">
        <v>152</v>
      </c>
      <c r="T91" s="22" t="s">
        <v>105</v>
      </c>
      <c r="U91" s="31"/>
      <c r="V91" s="24" t="s">
        <v>486</v>
      </c>
    </row>
    <row r="92" ht="14.25" spans="1:22">
      <c r="A92" s="21" t="s">
        <v>199</v>
      </c>
      <c r="B92" s="21" t="s">
        <v>200</v>
      </c>
      <c r="C92" s="22" t="s">
        <v>487</v>
      </c>
      <c r="D92" s="23" t="s">
        <v>488</v>
      </c>
      <c r="E92" s="21" t="s">
        <v>103</v>
      </c>
      <c r="F92" s="24" t="s">
        <v>182</v>
      </c>
      <c r="G92" s="22" t="s">
        <v>182</v>
      </c>
      <c r="H92" s="22" t="s">
        <v>203</v>
      </c>
      <c r="I92" s="22" t="s">
        <v>204</v>
      </c>
      <c r="J92" s="22" t="s">
        <v>489</v>
      </c>
      <c r="K92" s="24" t="s">
        <v>490</v>
      </c>
      <c r="L92" s="27">
        <v>1577</v>
      </c>
      <c r="M92" s="28">
        <v>0.06</v>
      </c>
      <c r="N92" s="29" t="s">
        <v>214</v>
      </c>
      <c r="O92" s="30">
        <v>1577</v>
      </c>
      <c r="P92" s="29" t="s">
        <v>214</v>
      </c>
      <c r="Q92" s="22" t="s">
        <v>103</v>
      </c>
      <c r="R92" s="22" t="s">
        <v>103</v>
      </c>
      <c r="S92" s="22" t="s">
        <v>152</v>
      </c>
      <c r="T92" s="22" t="s">
        <v>105</v>
      </c>
      <c r="U92" s="31"/>
      <c r="V92" s="24" t="s">
        <v>215</v>
      </c>
    </row>
    <row r="93" ht="14.25" spans="1:22">
      <c r="A93" s="21" t="s">
        <v>199</v>
      </c>
      <c r="B93" s="21" t="s">
        <v>200</v>
      </c>
      <c r="C93" s="22" t="s">
        <v>491</v>
      </c>
      <c r="D93" s="23" t="s">
        <v>492</v>
      </c>
      <c r="E93" s="21" t="s">
        <v>103</v>
      </c>
      <c r="F93" s="24" t="s">
        <v>182</v>
      </c>
      <c r="G93" s="22" t="s">
        <v>182</v>
      </c>
      <c r="H93" s="22" t="s">
        <v>203</v>
      </c>
      <c r="I93" s="22" t="s">
        <v>204</v>
      </c>
      <c r="J93" s="22"/>
      <c r="K93" s="24"/>
      <c r="L93" s="27">
        <v>1577</v>
      </c>
      <c r="M93" s="28">
        <v>0.06</v>
      </c>
      <c r="N93" s="29" t="s">
        <v>214</v>
      </c>
      <c r="O93" s="30">
        <v>1577</v>
      </c>
      <c r="P93" s="29" t="s">
        <v>214</v>
      </c>
      <c r="Q93" s="22" t="s">
        <v>103</v>
      </c>
      <c r="R93" s="22" t="s">
        <v>103</v>
      </c>
      <c r="S93" s="22" t="s">
        <v>152</v>
      </c>
      <c r="T93" s="22" t="s">
        <v>105</v>
      </c>
      <c r="U93" s="31"/>
      <c r="V93" s="24" t="s">
        <v>215</v>
      </c>
    </row>
    <row r="94" ht="14.25" spans="1:22">
      <c r="A94" s="21" t="s">
        <v>199</v>
      </c>
      <c r="B94" s="21" t="s">
        <v>200</v>
      </c>
      <c r="C94" s="22" t="s">
        <v>493</v>
      </c>
      <c r="D94" s="23" t="s">
        <v>494</v>
      </c>
      <c r="E94" s="21" t="s">
        <v>103</v>
      </c>
      <c r="F94" s="24" t="s">
        <v>316</v>
      </c>
      <c r="G94" s="22" t="s">
        <v>481</v>
      </c>
      <c r="H94" s="22" t="s">
        <v>313</v>
      </c>
      <c r="I94" s="22" t="s">
        <v>204</v>
      </c>
      <c r="J94" s="22"/>
      <c r="K94" s="24"/>
      <c r="L94" s="27">
        <v>1706</v>
      </c>
      <c r="M94" s="28">
        <v>0.06</v>
      </c>
      <c r="N94" s="29" t="s">
        <v>478</v>
      </c>
      <c r="O94" s="30">
        <v>1706</v>
      </c>
      <c r="P94" s="29" t="s">
        <v>478</v>
      </c>
      <c r="Q94" s="22" t="s">
        <v>94</v>
      </c>
      <c r="R94" s="22" t="s">
        <v>103</v>
      </c>
      <c r="S94" s="22" t="s">
        <v>152</v>
      </c>
      <c r="T94" s="22" t="s">
        <v>105</v>
      </c>
      <c r="U94" s="31"/>
      <c r="V94" s="24"/>
    </row>
    <row r="95" ht="14.25" spans="1:22">
      <c r="A95" s="21" t="s">
        <v>199</v>
      </c>
      <c r="B95" s="21" t="s">
        <v>200</v>
      </c>
      <c r="C95" s="22" t="s">
        <v>495</v>
      </c>
      <c r="D95" s="23" t="s">
        <v>496</v>
      </c>
      <c r="E95" s="21" t="s">
        <v>103</v>
      </c>
      <c r="F95" s="24" t="s">
        <v>316</v>
      </c>
      <c r="G95" s="22" t="s">
        <v>497</v>
      </c>
      <c r="H95" s="22" t="s">
        <v>203</v>
      </c>
      <c r="I95" s="22" t="s">
        <v>204</v>
      </c>
      <c r="J95" s="22"/>
      <c r="K95" s="24"/>
      <c r="L95" s="27">
        <v>1580</v>
      </c>
      <c r="M95" s="28">
        <v>0.06</v>
      </c>
      <c r="N95" s="29" t="s">
        <v>232</v>
      </c>
      <c r="O95" s="30">
        <v>1580</v>
      </c>
      <c r="P95" s="29" t="s">
        <v>232</v>
      </c>
      <c r="Q95" s="22" t="s">
        <v>103</v>
      </c>
      <c r="R95" s="22" t="s">
        <v>103</v>
      </c>
      <c r="S95" s="22" t="s">
        <v>152</v>
      </c>
      <c r="T95" s="22" t="s">
        <v>105</v>
      </c>
      <c r="U95" s="31"/>
      <c r="V95" s="24" t="s">
        <v>233</v>
      </c>
    </row>
    <row r="96" ht="14.25" spans="1:22">
      <c r="A96" s="21" t="s">
        <v>199</v>
      </c>
      <c r="B96" s="21" t="s">
        <v>200</v>
      </c>
      <c r="C96" s="22" t="s">
        <v>498</v>
      </c>
      <c r="D96" s="23" t="s">
        <v>499</v>
      </c>
      <c r="E96" s="21" t="s">
        <v>103</v>
      </c>
      <c r="F96" s="24" t="s">
        <v>182</v>
      </c>
      <c r="G96" s="22" t="s">
        <v>182</v>
      </c>
      <c r="H96" s="22" t="s">
        <v>203</v>
      </c>
      <c r="I96" s="22" t="s">
        <v>204</v>
      </c>
      <c r="J96" s="22"/>
      <c r="K96" s="24"/>
      <c r="L96" s="27">
        <v>1580</v>
      </c>
      <c r="M96" s="28">
        <v>0.06</v>
      </c>
      <c r="N96" s="29" t="s">
        <v>232</v>
      </c>
      <c r="O96" s="30">
        <v>1580</v>
      </c>
      <c r="P96" s="29" t="s">
        <v>232</v>
      </c>
      <c r="Q96" s="22" t="s">
        <v>103</v>
      </c>
      <c r="R96" s="22" t="s">
        <v>103</v>
      </c>
      <c r="S96" s="22" t="s">
        <v>152</v>
      </c>
      <c r="T96" s="22" t="s">
        <v>105</v>
      </c>
      <c r="U96" s="31"/>
      <c r="V96" s="24" t="s">
        <v>233</v>
      </c>
    </row>
    <row r="97" ht="14.25" spans="1:22">
      <c r="A97" s="21" t="s">
        <v>500</v>
      </c>
      <c r="B97" s="21" t="s">
        <v>501</v>
      </c>
      <c r="C97" s="22" t="s">
        <v>502</v>
      </c>
      <c r="D97" s="23" t="s">
        <v>503</v>
      </c>
      <c r="E97" s="21" t="s">
        <v>94</v>
      </c>
      <c r="F97" s="24" t="s">
        <v>316</v>
      </c>
      <c r="G97" s="22" t="s">
        <v>504</v>
      </c>
      <c r="H97" s="22" t="s">
        <v>97</v>
      </c>
      <c r="I97" s="22"/>
      <c r="J97" s="22"/>
      <c r="K97" s="24"/>
      <c r="L97" s="27">
        <v>2735</v>
      </c>
      <c r="M97" s="28">
        <v>0.06</v>
      </c>
      <c r="N97" s="29" t="s">
        <v>505</v>
      </c>
      <c r="O97" s="30">
        <v>2735</v>
      </c>
      <c r="P97" s="29" t="s">
        <v>505</v>
      </c>
      <c r="Q97" s="22" t="s">
        <v>103</v>
      </c>
      <c r="R97" s="22" t="s">
        <v>103</v>
      </c>
      <c r="S97" s="22" t="s">
        <v>152</v>
      </c>
      <c r="T97" s="22" t="s">
        <v>105</v>
      </c>
      <c r="U97" s="31"/>
      <c r="V97" s="24" t="s">
        <v>506</v>
      </c>
    </row>
    <row r="98" ht="14.25" spans="1:22">
      <c r="A98" s="21" t="s">
        <v>106</v>
      </c>
      <c r="B98" s="21" t="s">
        <v>107</v>
      </c>
      <c r="C98" s="22" t="s">
        <v>507</v>
      </c>
      <c r="D98" s="23" t="s">
        <v>508</v>
      </c>
      <c r="E98" s="21" t="s">
        <v>94</v>
      </c>
      <c r="F98" s="24" t="s">
        <v>95</v>
      </c>
      <c r="G98" s="22" t="s">
        <v>96</v>
      </c>
      <c r="H98" s="22" t="s">
        <v>97</v>
      </c>
      <c r="I98" s="22" t="s">
        <v>110</v>
      </c>
      <c r="J98" s="22"/>
      <c r="K98" s="24" t="s">
        <v>509</v>
      </c>
      <c r="L98" s="27">
        <v>1330</v>
      </c>
      <c r="M98" s="28">
        <v>0.06</v>
      </c>
      <c r="N98" s="29" t="s">
        <v>510</v>
      </c>
      <c r="O98" s="30">
        <v>1330</v>
      </c>
      <c r="P98" s="29" t="s">
        <v>510</v>
      </c>
      <c r="Q98" s="22" t="s">
        <v>103</v>
      </c>
      <c r="R98" s="22" t="s">
        <v>103</v>
      </c>
      <c r="S98" s="22" t="s">
        <v>104</v>
      </c>
      <c r="T98" s="22" t="s">
        <v>105</v>
      </c>
      <c r="U98" s="31"/>
      <c r="V98" s="24"/>
    </row>
    <row r="99" ht="14.25" spans="1:22">
      <c r="A99" s="21" t="s">
        <v>500</v>
      </c>
      <c r="B99" s="21" t="s">
        <v>501</v>
      </c>
      <c r="C99" s="22" t="s">
        <v>511</v>
      </c>
      <c r="D99" s="23" t="s">
        <v>512</v>
      </c>
      <c r="E99" s="21" t="s">
        <v>94</v>
      </c>
      <c r="F99" s="24" t="s">
        <v>513</v>
      </c>
      <c r="G99" s="22" t="s">
        <v>514</v>
      </c>
      <c r="H99" s="22" t="s">
        <v>97</v>
      </c>
      <c r="I99" s="22"/>
      <c r="J99" s="22"/>
      <c r="K99" s="24"/>
      <c r="L99" s="27">
        <v>1221</v>
      </c>
      <c r="M99" s="28">
        <v>0.06</v>
      </c>
      <c r="N99" s="29" t="s">
        <v>515</v>
      </c>
      <c r="O99" s="30">
        <v>1221</v>
      </c>
      <c r="P99" s="29" t="s">
        <v>515</v>
      </c>
      <c r="Q99" s="22" t="s">
        <v>103</v>
      </c>
      <c r="R99" s="22" t="s">
        <v>103</v>
      </c>
      <c r="S99" s="22" t="s">
        <v>152</v>
      </c>
      <c r="T99" s="22" t="s">
        <v>105</v>
      </c>
      <c r="U99" s="31"/>
      <c r="V99" s="24"/>
    </row>
    <row r="100" ht="14.25" spans="1:22">
      <c r="A100" s="21" t="s">
        <v>500</v>
      </c>
      <c r="B100" s="21" t="s">
        <v>501</v>
      </c>
      <c r="C100" s="22" t="s">
        <v>516</v>
      </c>
      <c r="D100" s="23" t="s">
        <v>517</v>
      </c>
      <c r="E100" s="21" t="s">
        <v>94</v>
      </c>
      <c r="F100" s="24" t="s">
        <v>95</v>
      </c>
      <c r="G100" s="22" t="s">
        <v>96</v>
      </c>
      <c r="H100" s="22" t="s">
        <v>97</v>
      </c>
      <c r="I100" s="22"/>
      <c r="J100" s="22"/>
      <c r="K100" s="24" t="s">
        <v>131</v>
      </c>
      <c r="L100" s="27">
        <v>1221</v>
      </c>
      <c r="M100" s="28">
        <v>0.06</v>
      </c>
      <c r="N100" s="29" t="s">
        <v>515</v>
      </c>
      <c r="O100" s="30">
        <v>1221</v>
      </c>
      <c r="P100" s="29" t="s">
        <v>515</v>
      </c>
      <c r="Q100" s="22" t="s">
        <v>103</v>
      </c>
      <c r="R100" s="22" t="s">
        <v>103</v>
      </c>
      <c r="S100" s="22" t="s">
        <v>104</v>
      </c>
      <c r="T100" s="22" t="s">
        <v>105</v>
      </c>
      <c r="U100" s="31"/>
      <c r="V100" s="24"/>
    </row>
    <row r="101" ht="14.25" spans="1:22">
      <c r="A101" s="21" t="s">
        <v>500</v>
      </c>
      <c r="B101" s="21" t="s">
        <v>501</v>
      </c>
      <c r="C101" s="22" t="s">
        <v>518</v>
      </c>
      <c r="D101" s="23" t="s">
        <v>519</v>
      </c>
      <c r="E101" s="21" t="s">
        <v>94</v>
      </c>
      <c r="F101" s="24" t="s">
        <v>95</v>
      </c>
      <c r="G101" s="22" t="s">
        <v>96</v>
      </c>
      <c r="H101" s="22" t="s">
        <v>97</v>
      </c>
      <c r="I101" s="22"/>
      <c r="J101" s="22"/>
      <c r="K101" s="24"/>
      <c r="L101" s="27">
        <v>1221</v>
      </c>
      <c r="M101" s="28">
        <v>0.06</v>
      </c>
      <c r="N101" s="29" t="s">
        <v>515</v>
      </c>
      <c r="O101" s="30">
        <v>1221</v>
      </c>
      <c r="P101" s="29" t="s">
        <v>515</v>
      </c>
      <c r="Q101" s="22" t="s">
        <v>103</v>
      </c>
      <c r="R101" s="22" t="s">
        <v>103</v>
      </c>
      <c r="S101" s="22" t="s">
        <v>152</v>
      </c>
      <c r="T101" s="22" t="s">
        <v>105</v>
      </c>
      <c r="U101" s="31"/>
      <c r="V101" s="24"/>
    </row>
    <row r="102" ht="14.25" spans="1:22">
      <c r="A102" s="21" t="s">
        <v>145</v>
      </c>
      <c r="B102" s="21" t="s">
        <v>146</v>
      </c>
      <c r="C102" s="22" t="s">
        <v>520</v>
      </c>
      <c r="D102" s="23" t="s">
        <v>521</v>
      </c>
      <c r="E102" s="21" t="s">
        <v>94</v>
      </c>
      <c r="F102" s="24" t="s">
        <v>95</v>
      </c>
      <c r="G102" s="22" t="s">
        <v>96</v>
      </c>
      <c r="H102" s="22" t="s">
        <v>97</v>
      </c>
      <c r="I102" s="22" t="s">
        <v>98</v>
      </c>
      <c r="J102" s="22"/>
      <c r="K102" s="24"/>
      <c r="L102" s="27">
        <v>1301</v>
      </c>
      <c r="M102" s="28">
        <v>0.06</v>
      </c>
      <c r="N102" s="29" t="s">
        <v>175</v>
      </c>
      <c r="O102" s="30" t="s">
        <v>176</v>
      </c>
      <c r="P102" s="29" t="s">
        <v>177</v>
      </c>
      <c r="Q102" s="22" t="s">
        <v>103</v>
      </c>
      <c r="R102" s="22" t="s">
        <v>103</v>
      </c>
      <c r="S102" s="22" t="s">
        <v>152</v>
      </c>
      <c r="T102" s="22" t="s">
        <v>105</v>
      </c>
      <c r="U102" s="31"/>
      <c r="V102" s="24"/>
    </row>
    <row r="103" ht="14.25" spans="1:22">
      <c r="A103" s="21" t="s">
        <v>145</v>
      </c>
      <c r="B103" s="21" t="s">
        <v>146</v>
      </c>
      <c r="C103" s="22" t="s">
        <v>522</v>
      </c>
      <c r="D103" s="23" t="s">
        <v>523</v>
      </c>
      <c r="E103" s="21" t="s">
        <v>94</v>
      </c>
      <c r="F103" s="24" t="s">
        <v>95</v>
      </c>
      <c r="G103" s="22" t="s">
        <v>96</v>
      </c>
      <c r="H103" s="22" t="s">
        <v>97</v>
      </c>
      <c r="I103" s="22" t="s">
        <v>110</v>
      </c>
      <c r="J103" s="22"/>
      <c r="K103" s="24" t="s">
        <v>99</v>
      </c>
      <c r="L103" s="27">
        <v>1301</v>
      </c>
      <c r="M103" s="28">
        <v>0.06</v>
      </c>
      <c r="N103" s="29" t="s">
        <v>175</v>
      </c>
      <c r="O103" s="30" t="s">
        <v>176</v>
      </c>
      <c r="P103" s="29" t="s">
        <v>177</v>
      </c>
      <c r="Q103" s="22" t="s">
        <v>103</v>
      </c>
      <c r="R103" s="22" t="s">
        <v>103</v>
      </c>
      <c r="S103" s="22" t="s">
        <v>104</v>
      </c>
      <c r="T103" s="22" t="s">
        <v>105</v>
      </c>
      <c r="U103" s="31"/>
      <c r="V103" s="24"/>
    </row>
    <row r="104" ht="14.25" spans="1:22">
      <c r="A104" s="21" t="s">
        <v>500</v>
      </c>
      <c r="B104" s="21" t="s">
        <v>501</v>
      </c>
      <c r="C104" s="22" t="s">
        <v>524</v>
      </c>
      <c r="D104" s="23" t="s">
        <v>525</v>
      </c>
      <c r="E104" s="21" t="s">
        <v>94</v>
      </c>
      <c r="F104" s="24" t="s">
        <v>95</v>
      </c>
      <c r="G104" s="22" t="s">
        <v>96</v>
      </c>
      <c r="H104" s="22" t="s">
        <v>97</v>
      </c>
      <c r="I104" s="22" t="s">
        <v>110</v>
      </c>
      <c r="J104" s="22"/>
      <c r="K104" s="24" t="s">
        <v>525</v>
      </c>
      <c r="L104" s="27">
        <v>1312</v>
      </c>
      <c r="M104" s="28">
        <v>0.06</v>
      </c>
      <c r="N104" s="29" t="s">
        <v>526</v>
      </c>
      <c r="O104" s="30" t="s">
        <v>527</v>
      </c>
      <c r="P104" s="29" t="s">
        <v>528</v>
      </c>
      <c r="Q104" s="22" t="s">
        <v>103</v>
      </c>
      <c r="R104" s="22" t="s">
        <v>103</v>
      </c>
      <c r="S104" s="22" t="s">
        <v>104</v>
      </c>
      <c r="T104" s="22" t="s">
        <v>105</v>
      </c>
      <c r="U104" s="31"/>
      <c r="V104" s="24"/>
    </row>
    <row r="105" ht="14.25" spans="1:22">
      <c r="A105" s="21" t="s">
        <v>500</v>
      </c>
      <c r="B105" s="21" t="s">
        <v>501</v>
      </c>
      <c r="C105" s="22" t="s">
        <v>529</v>
      </c>
      <c r="D105" s="23" t="s">
        <v>530</v>
      </c>
      <c r="E105" s="21" t="s">
        <v>94</v>
      </c>
      <c r="F105" s="24" t="s">
        <v>95</v>
      </c>
      <c r="G105" s="22" t="s">
        <v>96</v>
      </c>
      <c r="H105" s="22" t="s">
        <v>97</v>
      </c>
      <c r="I105" s="22" t="s">
        <v>110</v>
      </c>
      <c r="J105" s="22"/>
      <c r="K105" s="24" t="s">
        <v>530</v>
      </c>
      <c r="L105" s="27">
        <v>1312</v>
      </c>
      <c r="M105" s="28">
        <v>0.06</v>
      </c>
      <c r="N105" s="29" t="s">
        <v>526</v>
      </c>
      <c r="O105" s="30" t="s">
        <v>527</v>
      </c>
      <c r="P105" s="29" t="s">
        <v>528</v>
      </c>
      <c r="Q105" s="22" t="s">
        <v>103</v>
      </c>
      <c r="R105" s="22" t="s">
        <v>103</v>
      </c>
      <c r="S105" s="22" t="s">
        <v>104</v>
      </c>
      <c r="T105" s="22" t="s">
        <v>105</v>
      </c>
      <c r="U105" s="31"/>
      <c r="V105" s="24"/>
    </row>
    <row r="106" ht="14.25" spans="1:22">
      <c r="A106" s="21" t="s">
        <v>192</v>
      </c>
      <c r="B106" s="21" t="s">
        <v>193</v>
      </c>
      <c r="C106" s="22" t="s">
        <v>531</v>
      </c>
      <c r="D106" s="23" t="s">
        <v>532</v>
      </c>
      <c r="E106" s="21" t="s">
        <v>94</v>
      </c>
      <c r="F106" s="24" t="s">
        <v>316</v>
      </c>
      <c r="G106" s="22" t="s">
        <v>533</v>
      </c>
      <c r="H106" s="22" t="s">
        <v>97</v>
      </c>
      <c r="I106" s="22"/>
      <c r="J106" s="22"/>
      <c r="K106" s="24"/>
      <c r="L106" s="27">
        <v>1221</v>
      </c>
      <c r="M106" s="28">
        <v>0.06</v>
      </c>
      <c r="N106" s="29" t="s">
        <v>515</v>
      </c>
      <c r="O106" s="30">
        <v>1221</v>
      </c>
      <c r="P106" s="29" t="s">
        <v>515</v>
      </c>
      <c r="Q106" s="22" t="s">
        <v>103</v>
      </c>
      <c r="R106" s="22" t="s">
        <v>103</v>
      </c>
      <c r="S106" s="22" t="s">
        <v>152</v>
      </c>
      <c r="T106" s="22" t="s">
        <v>105</v>
      </c>
      <c r="U106" s="31"/>
      <c r="V106" s="24"/>
    </row>
    <row r="107" ht="14.25" spans="1:22">
      <c r="A107" s="21" t="s">
        <v>199</v>
      </c>
      <c r="B107" s="21" t="s">
        <v>200</v>
      </c>
      <c r="C107" s="22" t="s">
        <v>534</v>
      </c>
      <c r="D107" s="23" t="s">
        <v>535</v>
      </c>
      <c r="E107" s="21" t="s">
        <v>94</v>
      </c>
      <c r="F107" s="24" t="s">
        <v>316</v>
      </c>
      <c r="G107" s="22" t="s">
        <v>455</v>
      </c>
      <c r="H107" s="22" t="s">
        <v>203</v>
      </c>
      <c r="I107" s="22" t="s">
        <v>204</v>
      </c>
      <c r="J107" s="22"/>
      <c r="K107" s="24"/>
      <c r="L107" s="27">
        <v>1653</v>
      </c>
      <c r="M107" s="28">
        <v>0.06</v>
      </c>
      <c r="N107" s="29" t="s">
        <v>456</v>
      </c>
      <c r="O107" s="30">
        <v>1653</v>
      </c>
      <c r="P107" s="29" t="s">
        <v>456</v>
      </c>
      <c r="Q107" s="22" t="s">
        <v>103</v>
      </c>
      <c r="R107" s="22" t="s">
        <v>103</v>
      </c>
      <c r="S107" s="22" t="s">
        <v>152</v>
      </c>
      <c r="T107" s="22" t="s">
        <v>105</v>
      </c>
      <c r="U107" s="31"/>
      <c r="V107" s="24"/>
    </row>
    <row r="108" ht="14.25" spans="1:22">
      <c r="A108" s="21" t="s">
        <v>192</v>
      </c>
      <c r="B108" s="21" t="s">
        <v>193</v>
      </c>
      <c r="C108" s="22" t="s">
        <v>536</v>
      </c>
      <c r="D108" s="23" t="s">
        <v>537</v>
      </c>
      <c r="E108" s="21" t="s">
        <v>94</v>
      </c>
      <c r="F108" s="24" t="s">
        <v>538</v>
      </c>
      <c r="G108" s="22" t="s">
        <v>539</v>
      </c>
      <c r="H108" s="22" t="s">
        <v>97</v>
      </c>
      <c r="I108" s="22"/>
      <c r="J108" s="22"/>
      <c r="K108" s="24"/>
      <c r="L108" s="27">
        <v>2735</v>
      </c>
      <c r="M108" s="28">
        <v>0.06</v>
      </c>
      <c r="N108" s="29" t="s">
        <v>505</v>
      </c>
      <c r="O108" s="30">
        <v>2735</v>
      </c>
      <c r="P108" s="29" t="s">
        <v>505</v>
      </c>
      <c r="Q108" s="22" t="s">
        <v>103</v>
      </c>
      <c r="R108" s="22" t="s">
        <v>103</v>
      </c>
      <c r="S108" s="22" t="s">
        <v>152</v>
      </c>
      <c r="T108" s="22" t="s">
        <v>105</v>
      </c>
      <c r="U108" s="31"/>
      <c r="V108" s="24" t="s">
        <v>506</v>
      </c>
    </row>
    <row r="109" ht="14.25" spans="1:22">
      <c r="A109" s="21" t="s">
        <v>471</v>
      </c>
      <c r="B109" s="21" t="s">
        <v>472</v>
      </c>
      <c r="C109" s="22" t="s">
        <v>540</v>
      </c>
      <c r="D109" s="23" t="s">
        <v>541</v>
      </c>
      <c r="E109" s="21" t="s">
        <v>103</v>
      </c>
      <c r="F109" s="24" t="s">
        <v>316</v>
      </c>
      <c r="G109" s="22" t="s">
        <v>542</v>
      </c>
      <c r="H109" s="22" t="s">
        <v>313</v>
      </c>
      <c r="I109" s="22" t="s">
        <v>204</v>
      </c>
      <c r="J109" s="22" t="s">
        <v>543</v>
      </c>
      <c r="K109" s="24" t="s">
        <v>544</v>
      </c>
      <c r="L109" s="27">
        <v>1708</v>
      </c>
      <c r="M109" s="28">
        <v>0.06</v>
      </c>
      <c r="N109" s="29" t="s">
        <v>545</v>
      </c>
      <c r="O109" s="30">
        <v>1708</v>
      </c>
      <c r="P109" s="29" t="s">
        <v>545</v>
      </c>
      <c r="Q109" s="22" t="s">
        <v>94</v>
      </c>
      <c r="R109" s="22" t="s">
        <v>103</v>
      </c>
      <c r="S109" s="22" t="s">
        <v>152</v>
      </c>
      <c r="T109" s="22" t="s">
        <v>105</v>
      </c>
      <c r="U109" s="31"/>
      <c r="V109" s="24"/>
    </row>
    <row r="110" ht="28.5" spans="1:22">
      <c r="A110" s="21" t="s">
        <v>471</v>
      </c>
      <c r="B110" s="21" t="s">
        <v>472</v>
      </c>
      <c r="C110" s="22" t="s">
        <v>546</v>
      </c>
      <c r="D110" s="23" t="s">
        <v>547</v>
      </c>
      <c r="E110" s="21" t="s">
        <v>103</v>
      </c>
      <c r="F110" s="24" t="s">
        <v>182</v>
      </c>
      <c r="G110" s="22" t="s">
        <v>182</v>
      </c>
      <c r="H110" s="22" t="s">
        <v>313</v>
      </c>
      <c r="I110" s="22" t="s">
        <v>204</v>
      </c>
      <c r="J110" s="22"/>
      <c r="K110" s="24"/>
      <c r="L110" s="27">
        <v>1708</v>
      </c>
      <c r="M110" s="28">
        <v>0.06</v>
      </c>
      <c r="N110" s="29" t="s">
        <v>545</v>
      </c>
      <c r="O110" s="30" t="s">
        <v>548</v>
      </c>
      <c r="P110" s="29" t="s">
        <v>549</v>
      </c>
      <c r="Q110" s="22" t="s">
        <v>94</v>
      </c>
      <c r="R110" s="22" t="s">
        <v>94</v>
      </c>
      <c r="S110" s="22" t="s">
        <v>152</v>
      </c>
      <c r="T110" s="22" t="s">
        <v>105</v>
      </c>
      <c r="U110" s="31"/>
      <c r="V110" s="24" t="s">
        <v>550</v>
      </c>
    </row>
    <row r="111" ht="14.25" spans="1:22">
      <c r="A111" s="21" t="s">
        <v>471</v>
      </c>
      <c r="B111" s="21" t="s">
        <v>472</v>
      </c>
      <c r="C111" s="22" t="s">
        <v>551</v>
      </c>
      <c r="D111" s="23" t="s">
        <v>552</v>
      </c>
      <c r="E111" s="21" t="s">
        <v>103</v>
      </c>
      <c r="F111" s="24" t="s">
        <v>182</v>
      </c>
      <c r="G111" s="22" t="s">
        <v>182</v>
      </c>
      <c r="H111" s="22" t="s">
        <v>313</v>
      </c>
      <c r="I111" s="22" t="s">
        <v>204</v>
      </c>
      <c r="J111" s="22"/>
      <c r="K111" s="24"/>
      <c r="L111" s="27">
        <v>1678</v>
      </c>
      <c r="M111" s="28">
        <v>0.06</v>
      </c>
      <c r="N111" s="29" t="s">
        <v>553</v>
      </c>
      <c r="O111" s="30">
        <v>1678</v>
      </c>
      <c r="P111" s="29" t="s">
        <v>553</v>
      </c>
      <c r="Q111" s="22" t="s">
        <v>94</v>
      </c>
      <c r="R111" s="22" t="s">
        <v>103</v>
      </c>
      <c r="S111" s="22" t="s">
        <v>152</v>
      </c>
      <c r="T111" s="22" t="s">
        <v>105</v>
      </c>
      <c r="U111" s="31"/>
      <c r="V111" s="24"/>
    </row>
    <row r="112" ht="14.25" spans="1:22">
      <c r="A112" s="21" t="s">
        <v>471</v>
      </c>
      <c r="B112" s="21" t="s">
        <v>472</v>
      </c>
      <c r="C112" s="22" t="s">
        <v>554</v>
      </c>
      <c r="D112" s="23" t="s">
        <v>555</v>
      </c>
      <c r="E112" s="21" t="s">
        <v>103</v>
      </c>
      <c r="F112" s="24" t="s">
        <v>182</v>
      </c>
      <c r="G112" s="22" t="s">
        <v>182</v>
      </c>
      <c r="H112" s="22" t="s">
        <v>313</v>
      </c>
      <c r="I112" s="22" t="s">
        <v>204</v>
      </c>
      <c r="J112" s="22" t="s">
        <v>556</v>
      </c>
      <c r="K112" s="24" t="s">
        <v>557</v>
      </c>
      <c r="L112" s="27">
        <v>1675</v>
      </c>
      <c r="M112" s="28">
        <v>0.06</v>
      </c>
      <c r="N112" s="29" t="s">
        <v>558</v>
      </c>
      <c r="O112" s="30">
        <v>1675</v>
      </c>
      <c r="P112" s="29" t="s">
        <v>558</v>
      </c>
      <c r="Q112" s="22" t="s">
        <v>94</v>
      </c>
      <c r="R112" s="22" t="s">
        <v>103</v>
      </c>
      <c r="S112" s="22" t="s">
        <v>152</v>
      </c>
      <c r="T112" s="22" t="s">
        <v>105</v>
      </c>
      <c r="U112" s="31"/>
      <c r="V112" s="24"/>
    </row>
    <row r="113" ht="14.25" spans="1:22">
      <c r="A113" s="21" t="s">
        <v>199</v>
      </c>
      <c r="B113" s="21" t="s">
        <v>200</v>
      </c>
      <c r="C113" s="22" t="s">
        <v>559</v>
      </c>
      <c r="D113" s="23" t="s">
        <v>560</v>
      </c>
      <c r="E113" s="21" t="s">
        <v>103</v>
      </c>
      <c r="F113" s="24" t="s">
        <v>182</v>
      </c>
      <c r="G113" s="22" t="s">
        <v>182</v>
      </c>
      <c r="H113" s="22" t="s">
        <v>444</v>
      </c>
      <c r="I113" s="22" t="s">
        <v>204</v>
      </c>
      <c r="J113" s="22"/>
      <c r="K113" s="24"/>
      <c r="L113" s="27">
        <v>1678</v>
      </c>
      <c r="M113" s="28">
        <v>0.06</v>
      </c>
      <c r="N113" s="29" t="s">
        <v>553</v>
      </c>
      <c r="O113" s="30">
        <v>1678</v>
      </c>
      <c r="P113" s="29" t="s">
        <v>553</v>
      </c>
      <c r="Q113" s="22" t="s">
        <v>94</v>
      </c>
      <c r="R113" s="22" t="s">
        <v>103</v>
      </c>
      <c r="S113" s="22" t="s">
        <v>152</v>
      </c>
      <c r="T113" s="22" t="s">
        <v>105</v>
      </c>
      <c r="U113" s="31"/>
      <c r="V113" s="24"/>
    </row>
    <row r="114" ht="14.25" spans="1:22">
      <c r="A114" s="21" t="s">
        <v>309</v>
      </c>
      <c r="B114" s="21" t="s">
        <v>310</v>
      </c>
      <c r="C114" s="22" t="s">
        <v>561</v>
      </c>
      <c r="D114" s="23" t="s">
        <v>562</v>
      </c>
      <c r="E114" s="21" t="s">
        <v>103</v>
      </c>
      <c r="F114" s="24" t="s">
        <v>182</v>
      </c>
      <c r="G114" s="22" t="s">
        <v>182</v>
      </c>
      <c r="H114" s="22" t="s">
        <v>313</v>
      </c>
      <c r="I114" s="22" t="s">
        <v>204</v>
      </c>
      <c r="J114" s="22"/>
      <c r="K114" s="24"/>
      <c r="L114" s="27">
        <v>1708</v>
      </c>
      <c r="M114" s="28">
        <v>0.06</v>
      </c>
      <c r="N114" s="29" t="s">
        <v>545</v>
      </c>
      <c r="O114" s="30">
        <v>1708</v>
      </c>
      <c r="P114" s="29" t="s">
        <v>545</v>
      </c>
      <c r="Q114" s="22" t="s">
        <v>94</v>
      </c>
      <c r="R114" s="22" t="s">
        <v>94</v>
      </c>
      <c r="S114" s="22" t="s">
        <v>152</v>
      </c>
      <c r="T114" s="22" t="s">
        <v>105</v>
      </c>
      <c r="U114" s="31"/>
      <c r="V114" s="24"/>
    </row>
    <row r="115" ht="14.25" spans="1:22">
      <c r="A115" s="21" t="s">
        <v>199</v>
      </c>
      <c r="B115" s="21" t="s">
        <v>200</v>
      </c>
      <c r="C115" s="22" t="s">
        <v>563</v>
      </c>
      <c r="D115" s="23" t="s">
        <v>564</v>
      </c>
      <c r="E115" s="21" t="s">
        <v>103</v>
      </c>
      <c r="F115" s="24" t="s">
        <v>316</v>
      </c>
      <c r="G115" s="22" t="s">
        <v>565</v>
      </c>
      <c r="H115" s="22" t="s">
        <v>466</v>
      </c>
      <c r="I115" s="22" t="s">
        <v>204</v>
      </c>
      <c r="J115" s="22" t="s">
        <v>566</v>
      </c>
      <c r="K115" s="24" t="s">
        <v>567</v>
      </c>
      <c r="L115" s="27">
        <v>2848</v>
      </c>
      <c r="M115" s="28">
        <v>0.06</v>
      </c>
      <c r="N115" s="29" t="s">
        <v>260</v>
      </c>
      <c r="O115" s="30">
        <v>2848</v>
      </c>
      <c r="P115" s="29" t="s">
        <v>260</v>
      </c>
      <c r="Q115" s="22" t="s">
        <v>103</v>
      </c>
      <c r="R115" s="22" t="s">
        <v>103</v>
      </c>
      <c r="S115" s="22" t="s">
        <v>152</v>
      </c>
      <c r="T115" s="22" t="s">
        <v>105</v>
      </c>
      <c r="U115" s="31"/>
      <c r="V115" s="24" t="s">
        <v>261</v>
      </c>
    </row>
    <row r="116" ht="14.25" spans="1:22">
      <c r="A116" s="21" t="s">
        <v>471</v>
      </c>
      <c r="B116" s="21" t="s">
        <v>472</v>
      </c>
      <c r="C116" s="22" t="s">
        <v>568</v>
      </c>
      <c r="D116" s="23" t="s">
        <v>313</v>
      </c>
      <c r="E116" s="21" t="s">
        <v>103</v>
      </c>
      <c r="F116" s="24" t="s">
        <v>182</v>
      </c>
      <c r="G116" s="22" t="s">
        <v>182</v>
      </c>
      <c r="H116" s="22" t="s">
        <v>313</v>
      </c>
      <c r="I116" s="22" t="s">
        <v>204</v>
      </c>
      <c r="J116" s="22"/>
      <c r="K116" s="24"/>
      <c r="L116" s="27">
        <v>2861</v>
      </c>
      <c r="M116" s="28">
        <v>0.06</v>
      </c>
      <c r="N116" s="29" t="s">
        <v>569</v>
      </c>
      <c r="O116" s="30">
        <v>2861</v>
      </c>
      <c r="P116" s="29" t="s">
        <v>569</v>
      </c>
      <c r="Q116" s="22" t="s">
        <v>94</v>
      </c>
      <c r="R116" s="22" t="s">
        <v>94</v>
      </c>
      <c r="S116" s="22" t="s">
        <v>152</v>
      </c>
      <c r="T116" s="22" t="s">
        <v>105</v>
      </c>
      <c r="U116" s="31"/>
      <c r="V116" s="24" t="s">
        <v>570</v>
      </c>
    </row>
    <row r="117" ht="14.25" spans="1:22">
      <c r="A117" s="21" t="s">
        <v>199</v>
      </c>
      <c r="B117" s="21" t="s">
        <v>200</v>
      </c>
      <c r="C117" s="22" t="s">
        <v>571</v>
      </c>
      <c r="D117" s="23" t="s">
        <v>572</v>
      </c>
      <c r="E117" s="21" t="s">
        <v>103</v>
      </c>
      <c r="F117" s="24" t="s">
        <v>182</v>
      </c>
      <c r="G117" s="22" t="s">
        <v>182</v>
      </c>
      <c r="H117" s="22" t="s">
        <v>203</v>
      </c>
      <c r="I117" s="22" t="s">
        <v>204</v>
      </c>
      <c r="J117" s="22"/>
      <c r="K117" s="24"/>
      <c r="L117" s="27">
        <v>1577</v>
      </c>
      <c r="M117" s="28">
        <v>0.06</v>
      </c>
      <c r="N117" s="29" t="s">
        <v>214</v>
      </c>
      <c r="O117" s="30">
        <v>1577</v>
      </c>
      <c r="P117" s="29" t="s">
        <v>214</v>
      </c>
      <c r="Q117" s="22" t="s">
        <v>103</v>
      </c>
      <c r="R117" s="22" t="s">
        <v>103</v>
      </c>
      <c r="S117" s="22" t="s">
        <v>152</v>
      </c>
      <c r="T117" s="22" t="s">
        <v>105</v>
      </c>
      <c r="U117" s="31"/>
      <c r="V117" s="24" t="s">
        <v>215</v>
      </c>
    </row>
    <row r="118" ht="14.25" spans="1:22">
      <c r="A118" s="21" t="s">
        <v>90</v>
      </c>
      <c r="B118" s="21" t="s">
        <v>91</v>
      </c>
      <c r="C118" s="22" t="s">
        <v>573</v>
      </c>
      <c r="D118" s="23" t="s">
        <v>574</v>
      </c>
      <c r="E118" s="21" t="s">
        <v>94</v>
      </c>
      <c r="F118" s="24" t="s">
        <v>95</v>
      </c>
      <c r="G118" s="22" t="s">
        <v>96</v>
      </c>
      <c r="H118" s="22" t="s">
        <v>97</v>
      </c>
      <c r="I118" s="22" t="s">
        <v>98</v>
      </c>
      <c r="J118" s="22"/>
      <c r="K118" s="24" t="s">
        <v>99</v>
      </c>
      <c r="L118" s="27">
        <v>1557</v>
      </c>
      <c r="M118" s="28">
        <v>0.09</v>
      </c>
      <c r="N118" s="29" t="s">
        <v>575</v>
      </c>
      <c r="O118" s="30" t="s">
        <v>576</v>
      </c>
      <c r="P118" s="29" t="s">
        <v>577</v>
      </c>
      <c r="Q118" s="22" t="s">
        <v>103</v>
      </c>
      <c r="R118" s="22" t="s">
        <v>103</v>
      </c>
      <c r="S118" s="22" t="s">
        <v>104</v>
      </c>
      <c r="T118" s="22" t="s">
        <v>105</v>
      </c>
      <c r="U118" s="31"/>
      <c r="V118" s="24"/>
    </row>
    <row r="119" ht="14.25" spans="1:22">
      <c r="A119" s="21" t="s">
        <v>500</v>
      </c>
      <c r="B119" s="21" t="s">
        <v>501</v>
      </c>
      <c r="C119" s="22" t="s">
        <v>578</v>
      </c>
      <c r="D119" s="23" t="s">
        <v>579</v>
      </c>
      <c r="E119" s="21" t="s">
        <v>94</v>
      </c>
      <c r="F119" s="24" t="s">
        <v>538</v>
      </c>
      <c r="G119" s="22" t="s">
        <v>580</v>
      </c>
      <c r="H119" s="22" t="s">
        <v>97</v>
      </c>
      <c r="I119" s="22"/>
      <c r="J119" s="22"/>
      <c r="K119" s="24"/>
      <c r="L119" s="27">
        <v>1414</v>
      </c>
      <c r="M119" s="28">
        <v>0.13</v>
      </c>
      <c r="N119" s="29" t="s">
        <v>581</v>
      </c>
      <c r="O119" s="30">
        <v>1414</v>
      </c>
      <c r="P119" s="29" t="s">
        <v>581</v>
      </c>
      <c r="Q119" s="22" t="s">
        <v>103</v>
      </c>
      <c r="R119" s="22" t="s">
        <v>103</v>
      </c>
      <c r="S119" s="22" t="s">
        <v>152</v>
      </c>
      <c r="T119" s="22" t="s">
        <v>105</v>
      </c>
      <c r="U119" s="31"/>
      <c r="V119" s="24"/>
    </row>
    <row r="120" ht="14.25" spans="1:22">
      <c r="A120" s="21" t="s">
        <v>500</v>
      </c>
      <c r="B120" s="21" t="s">
        <v>501</v>
      </c>
      <c r="C120" s="22" t="s">
        <v>582</v>
      </c>
      <c r="D120" s="23" t="s">
        <v>583</v>
      </c>
      <c r="E120" s="21" t="s">
        <v>94</v>
      </c>
      <c r="F120" s="24" t="s">
        <v>95</v>
      </c>
      <c r="G120" s="22" t="s">
        <v>96</v>
      </c>
      <c r="H120" s="22" t="s">
        <v>97</v>
      </c>
      <c r="I120" s="22" t="s">
        <v>98</v>
      </c>
      <c r="J120" s="22"/>
      <c r="K120" s="24"/>
      <c r="L120" s="27">
        <v>1414</v>
      </c>
      <c r="M120" s="28">
        <v>0.06</v>
      </c>
      <c r="N120" s="29" t="s">
        <v>581</v>
      </c>
      <c r="O120" s="30" t="s">
        <v>584</v>
      </c>
      <c r="P120" s="29" t="s">
        <v>585</v>
      </c>
      <c r="Q120" s="22" t="s">
        <v>103</v>
      </c>
      <c r="R120" s="22" t="s">
        <v>103</v>
      </c>
      <c r="S120" s="22" t="s">
        <v>152</v>
      </c>
      <c r="T120" s="22" t="s">
        <v>105</v>
      </c>
      <c r="U120" s="31"/>
      <c r="V120" s="24"/>
    </row>
    <row r="121" ht="14.25" spans="1:22">
      <c r="A121" s="21" t="s">
        <v>199</v>
      </c>
      <c r="B121" s="21" t="s">
        <v>200</v>
      </c>
      <c r="C121" s="22" t="s">
        <v>586</v>
      </c>
      <c r="D121" s="23" t="s">
        <v>587</v>
      </c>
      <c r="E121" s="21" t="s">
        <v>103</v>
      </c>
      <c r="F121" s="24" t="s">
        <v>149</v>
      </c>
      <c r="G121" s="22" t="s">
        <v>588</v>
      </c>
      <c r="H121" s="22" t="s">
        <v>203</v>
      </c>
      <c r="I121" s="22" t="s">
        <v>204</v>
      </c>
      <c r="J121" s="22" t="s">
        <v>589</v>
      </c>
      <c r="K121" s="24" t="s">
        <v>590</v>
      </c>
      <c r="L121" s="27">
        <v>1578</v>
      </c>
      <c r="M121" s="28">
        <v>0.06</v>
      </c>
      <c r="N121" s="29" t="s">
        <v>292</v>
      </c>
      <c r="O121" s="30">
        <v>1578</v>
      </c>
      <c r="P121" s="29" t="s">
        <v>292</v>
      </c>
      <c r="Q121" s="22" t="s">
        <v>103</v>
      </c>
      <c r="R121" s="22" t="s">
        <v>103</v>
      </c>
      <c r="S121" s="22" t="s">
        <v>152</v>
      </c>
      <c r="T121" s="22" t="s">
        <v>105</v>
      </c>
      <c r="U121" s="31"/>
      <c r="V121" s="24" t="s">
        <v>293</v>
      </c>
    </row>
    <row r="122" ht="14.25" spans="1:22">
      <c r="A122" s="21" t="s">
        <v>500</v>
      </c>
      <c r="B122" s="21" t="s">
        <v>501</v>
      </c>
      <c r="C122" s="22" t="s">
        <v>591</v>
      </c>
      <c r="D122" s="23" t="s">
        <v>592</v>
      </c>
      <c r="E122" s="21" t="s">
        <v>103</v>
      </c>
      <c r="F122" s="24" t="s">
        <v>182</v>
      </c>
      <c r="G122" s="22" t="s">
        <v>182</v>
      </c>
      <c r="H122" s="22" t="s">
        <v>203</v>
      </c>
      <c r="I122" s="22" t="s">
        <v>204</v>
      </c>
      <c r="J122" s="22"/>
      <c r="K122" s="24"/>
      <c r="L122" s="27">
        <v>1616</v>
      </c>
      <c r="M122" s="28">
        <v>0.06</v>
      </c>
      <c r="N122" s="29" t="s">
        <v>320</v>
      </c>
      <c r="O122" s="30">
        <v>1616</v>
      </c>
      <c r="P122" s="29" t="s">
        <v>320</v>
      </c>
      <c r="Q122" s="22" t="s">
        <v>103</v>
      </c>
      <c r="R122" s="22" t="s">
        <v>103</v>
      </c>
      <c r="S122" s="22" t="s">
        <v>152</v>
      </c>
      <c r="T122" s="22" t="s">
        <v>105</v>
      </c>
      <c r="U122" s="31"/>
      <c r="V122" s="24"/>
    </row>
    <row r="123" ht="14.25" spans="1:22">
      <c r="A123" s="21" t="s">
        <v>500</v>
      </c>
      <c r="B123" s="21" t="s">
        <v>501</v>
      </c>
      <c r="C123" s="22" t="s">
        <v>593</v>
      </c>
      <c r="D123" s="23" t="s">
        <v>594</v>
      </c>
      <c r="E123" s="21" t="s">
        <v>94</v>
      </c>
      <c r="F123" s="24" t="s">
        <v>182</v>
      </c>
      <c r="G123" s="22" t="s">
        <v>182</v>
      </c>
      <c r="H123" s="22" t="s">
        <v>97</v>
      </c>
      <c r="I123" s="22"/>
      <c r="J123" s="22"/>
      <c r="K123" s="24"/>
      <c r="L123" s="27">
        <v>1742</v>
      </c>
      <c r="M123" s="28">
        <v>0.13</v>
      </c>
      <c r="N123" s="29" t="s">
        <v>595</v>
      </c>
      <c r="O123" s="30" t="s">
        <v>596</v>
      </c>
      <c r="P123" s="29" t="s">
        <v>597</v>
      </c>
      <c r="Q123" s="22" t="s">
        <v>94</v>
      </c>
      <c r="R123" s="22" t="s">
        <v>94</v>
      </c>
      <c r="S123" s="22" t="s">
        <v>152</v>
      </c>
      <c r="T123" s="22" t="s">
        <v>105</v>
      </c>
      <c r="U123" s="31"/>
      <c r="V123" s="24"/>
    </row>
    <row r="124" ht="14.25" spans="1:22">
      <c r="A124" s="21" t="s">
        <v>500</v>
      </c>
      <c r="B124" s="21" t="s">
        <v>501</v>
      </c>
      <c r="C124" s="22" t="s">
        <v>598</v>
      </c>
      <c r="D124" s="23" t="s">
        <v>599</v>
      </c>
      <c r="E124" s="21" t="s">
        <v>94</v>
      </c>
      <c r="F124" s="24" t="s">
        <v>182</v>
      </c>
      <c r="G124" s="22" t="s">
        <v>182</v>
      </c>
      <c r="H124" s="22" t="s">
        <v>97</v>
      </c>
      <c r="I124" s="22"/>
      <c r="J124" s="22"/>
      <c r="K124" s="24"/>
      <c r="L124" s="27">
        <v>1738</v>
      </c>
      <c r="M124" s="28">
        <v>0.06</v>
      </c>
      <c r="N124" s="29" t="s">
        <v>600</v>
      </c>
      <c r="O124" s="30">
        <v>1738</v>
      </c>
      <c r="P124" s="29" t="s">
        <v>600</v>
      </c>
      <c r="Q124" s="22" t="s">
        <v>94</v>
      </c>
      <c r="R124" s="22" t="s">
        <v>103</v>
      </c>
      <c r="S124" s="22" t="s">
        <v>152</v>
      </c>
      <c r="T124" s="22" t="s">
        <v>105</v>
      </c>
      <c r="U124" s="31"/>
      <c r="V124" s="24"/>
    </row>
    <row r="125" ht="14.25" spans="1:22">
      <c r="A125" s="21" t="s">
        <v>199</v>
      </c>
      <c r="B125" s="21" t="s">
        <v>200</v>
      </c>
      <c r="C125" s="22" t="s">
        <v>601</v>
      </c>
      <c r="D125" s="23" t="s">
        <v>602</v>
      </c>
      <c r="E125" s="21" t="s">
        <v>103</v>
      </c>
      <c r="F125" s="24" t="s">
        <v>182</v>
      </c>
      <c r="G125" s="22" t="s">
        <v>182</v>
      </c>
      <c r="H125" s="22" t="s">
        <v>203</v>
      </c>
      <c r="I125" s="22" t="s">
        <v>204</v>
      </c>
      <c r="J125" s="22"/>
      <c r="K125" s="24"/>
      <c r="L125" s="27">
        <v>1578</v>
      </c>
      <c r="M125" s="28">
        <v>0.06</v>
      </c>
      <c r="N125" s="29" t="s">
        <v>292</v>
      </c>
      <c r="O125" s="30">
        <v>1578</v>
      </c>
      <c r="P125" s="29" t="s">
        <v>292</v>
      </c>
      <c r="Q125" s="22" t="s">
        <v>94</v>
      </c>
      <c r="R125" s="22" t="s">
        <v>94</v>
      </c>
      <c r="S125" s="22" t="s">
        <v>152</v>
      </c>
      <c r="T125" s="22" t="s">
        <v>105</v>
      </c>
      <c r="U125" s="31"/>
      <c r="V125" s="24" t="s">
        <v>293</v>
      </c>
    </row>
    <row r="126" ht="14.25" spans="1:22">
      <c r="A126" s="21" t="s">
        <v>471</v>
      </c>
      <c r="B126" s="21" t="s">
        <v>472</v>
      </c>
      <c r="C126" s="22" t="s">
        <v>603</v>
      </c>
      <c r="D126" s="23" t="s">
        <v>604</v>
      </c>
      <c r="E126" s="21" t="s">
        <v>103</v>
      </c>
      <c r="F126" s="24" t="s">
        <v>182</v>
      </c>
      <c r="G126" s="22" t="s">
        <v>182</v>
      </c>
      <c r="H126" s="22" t="s">
        <v>313</v>
      </c>
      <c r="I126" s="22" t="s">
        <v>204</v>
      </c>
      <c r="J126" s="22"/>
      <c r="K126" s="24"/>
      <c r="L126" s="27">
        <v>1950</v>
      </c>
      <c r="M126" s="28">
        <v>0.06</v>
      </c>
      <c r="N126" s="29" t="s">
        <v>485</v>
      </c>
      <c r="O126" s="30">
        <v>1950</v>
      </c>
      <c r="P126" s="29" t="s">
        <v>485</v>
      </c>
      <c r="Q126" s="22" t="s">
        <v>94</v>
      </c>
      <c r="R126" s="22" t="s">
        <v>94</v>
      </c>
      <c r="S126" s="22" t="s">
        <v>152</v>
      </c>
      <c r="T126" s="22" t="s">
        <v>105</v>
      </c>
      <c r="U126" s="31"/>
      <c r="V126" s="24" t="s">
        <v>486</v>
      </c>
    </row>
    <row r="127" ht="14.25" spans="1:22">
      <c r="A127" s="21" t="s">
        <v>471</v>
      </c>
      <c r="B127" s="21" t="s">
        <v>472</v>
      </c>
      <c r="C127" s="22" t="s">
        <v>605</v>
      </c>
      <c r="D127" s="23" t="s">
        <v>606</v>
      </c>
      <c r="E127" s="21" t="s">
        <v>103</v>
      </c>
      <c r="F127" s="24" t="s">
        <v>182</v>
      </c>
      <c r="G127" s="22" t="s">
        <v>182</v>
      </c>
      <c r="H127" s="22" t="s">
        <v>444</v>
      </c>
      <c r="I127" s="22" t="s">
        <v>204</v>
      </c>
      <c r="J127" s="22"/>
      <c r="K127" s="24"/>
      <c r="L127" s="27">
        <v>2848</v>
      </c>
      <c r="M127" s="28">
        <v>0.06</v>
      </c>
      <c r="N127" s="29" t="s">
        <v>260</v>
      </c>
      <c r="O127" s="30">
        <v>2848</v>
      </c>
      <c r="P127" s="29" t="s">
        <v>260</v>
      </c>
      <c r="Q127" s="22" t="s">
        <v>103</v>
      </c>
      <c r="R127" s="22" t="s">
        <v>94</v>
      </c>
      <c r="S127" s="22" t="s">
        <v>152</v>
      </c>
      <c r="T127" s="22" t="s">
        <v>105</v>
      </c>
      <c r="U127" s="31"/>
      <c r="V127" s="24" t="s">
        <v>261</v>
      </c>
    </row>
    <row r="128" ht="14.25" spans="1:22">
      <c r="A128" s="21" t="s">
        <v>192</v>
      </c>
      <c r="B128" s="21" t="s">
        <v>193</v>
      </c>
      <c r="C128" s="22" t="s">
        <v>607</v>
      </c>
      <c r="D128" s="23" t="s">
        <v>608</v>
      </c>
      <c r="E128" s="21" t="s">
        <v>94</v>
      </c>
      <c r="F128" s="24" t="s">
        <v>316</v>
      </c>
      <c r="G128" s="22" t="s">
        <v>609</v>
      </c>
      <c r="H128" s="22" t="s">
        <v>97</v>
      </c>
      <c r="I128" s="22"/>
      <c r="J128" s="22"/>
      <c r="K128" s="24"/>
      <c r="L128" s="27">
        <v>1249</v>
      </c>
      <c r="M128" s="28">
        <v>0.06</v>
      </c>
      <c r="N128" s="29" t="s">
        <v>610</v>
      </c>
      <c r="O128" s="30">
        <v>1249</v>
      </c>
      <c r="P128" s="29" t="s">
        <v>610</v>
      </c>
      <c r="Q128" s="22" t="s">
        <v>103</v>
      </c>
      <c r="R128" s="22" t="s">
        <v>103</v>
      </c>
      <c r="S128" s="22" t="s">
        <v>152</v>
      </c>
      <c r="T128" s="22" t="s">
        <v>105</v>
      </c>
      <c r="U128" s="31"/>
      <c r="V128" s="24"/>
    </row>
    <row r="129" ht="14.25" spans="1:22">
      <c r="A129" s="21" t="s">
        <v>192</v>
      </c>
      <c r="B129" s="21" t="s">
        <v>193</v>
      </c>
      <c r="C129" s="22" t="s">
        <v>611</v>
      </c>
      <c r="D129" s="23" t="s">
        <v>612</v>
      </c>
      <c r="E129" s="21" t="s">
        <v>94</v>
      </c>
      <c r="F129" s="24" t="s">
        <v>316</v>
      </c>
      <c r="G129" s="22" t="s">
        <v>609</v>
      </c>
      <c r="H129" s="22" t="s">
        <v>97</v>
      </c>
      <c r="I129" s="22"/>
      <c r="J129" s="22"/>
      <c r="K129" s="24"/>
      <c r="L129" s="27">
        <v>1249</v>
      </c>
      <c r="M129" s="28">
        <v>0.06</v>
      </c>
      <c r="N129" s="29" t="s">
        <v>610</v>
      </c>
      <c r="O129" s="30">
        <v>1249</v>
      </c>
      <c r="P129" s="29" t="s">
        <v>610</v>
      </c>
      <c r="Q129" s="22" t="s">
        <v>103</v>
      </c>
      <c r="R129" s="22" t="s">
        <v>103</v>
      </c>
      <c r="S129" s="22" t="s">
        <v>152</v>
      </c>
      <c r="T129" s="22" t="s">
        <v>105</v>
      </c>
      <c r="U129" s="31"/>
      <c r="V129" s="24"/>
    </row>
    <row r="130" ht="14.25" spans="1:22">
      <c r="A130" s="21" t="s">
        <v>192</v>
      </c>
      <c r="B130" s="21" t="s">
        <v>193</v>
      </c>
      <c r="C130" s="22" t="s">
        <v>613</v>
      </c>
      <c r="D130" s="23" t="s">
        <v>614</v>
      </c>
      <c r="E130" s="21" t="s">
        <v>94</v>
      </c>
      <c r="F130" s="24" t="s">
        <v>182</v>
      </c>
      <c r="G130" s="22" t="s">
        <v>182</v>
      </c>
      <c r="H130" s="22" t="s">
        <v>97</v>
      </c>
      <c r="I130" s="22"/>
      <c r="J130" s="22"/>
      <c r="K130" s="24"/>
      <c r="L130" s="27">
        <v>2848</v>
      </c>
      <c r="M130" s="28">
        <v>0.06</v>
      </c>
      <c r="N130" s="29" t="s">
        <v>260</v>
      </c>
      <c r="O130" s="30">
        <v>2848</v>
      </c>
      <c r="P130" s="29" t="s">
        <v>260</v>
      </c>
      <c r="Q130" s="22" t="s">
        <v>103</v>
      </c>
      <c r="R130" s="22" t="s">
        <v>103</v>
      </c>
      <c r="S130" s="22" t="s">
        <v>152</v>
      </c>
      <c r="T130" s="22" t="s">
        <v>105</v>
      </c>
      <c r="U130" s="31"/>
      <c r="V130" s="24" t="s">
        <v>261</v>
      </c>
    </row>
    <row r="131" ht="14.25" spans="1:22">
      <c r="A131" s="21" t="s">
        <v>192</v>
      </c>
      <c r="B131" s="21" t="s">
        <v>193</v>
      </c>
      <c r="C131" s="22" t="s">
        <v>615</v>
      </c>
      <c r="D131" s="23" t="s">
        <v>616</v>
      </c>
      <c r="E131" s="21" t="s">
        <v>94</v>
      </c>
      <c r="F131" s="24" t="s">
        <v>347</v>
      </c>
      <c r="G131" s="22" t="s">
        <v>617</v>
      </c>
      <c r="H131" s="22" t="s">
        <v>97</v>
      </c>
      <c r="I131" s="22"/>
      <c r="J131" s="22"/>
      <c r="K131" s="24"/>
      <c r="L131" s="27">
        <v>1197</v>
      </c>
      <c r="M131" s="28">
        <v>0.06</v>
      </c>
      <c r="N131" s="29" t="s">
        <v>296</v>
      </c>
      <c r="O131" s="30">
        <v>1197</v>
      </c>
      <c r="P131" s="29" t="s">
        <v>296</v>
      </c>
      <c r="Q131" s="22" t="s">
        <v>103</v>
      </c>
      <c r="R131" s="22" t="s">
        <v>103</v>
      </c>
      <c r="S131" s="22" t="s">
        <v>152</v>
      </c>
      <c r="T131" s="22" t="s">
        <v>105</v>
      </c>
      <c r="U131" s="31"/>
      <c r="V131" s="24" t="s">
        <v>297</v>
      </c>
    </row>
    <row r="132" ht="14.25" spans="1:22">
      <c r="A132" s="21" t="s">
        <v>199</v>
      </c>
      <c r="B132" s="21" t="s">
        <v>200</v>
      </c>
      <c r="C132" s="22" t="s">
        <v>618</v>
      </c>
      <c r="D132" s="23" t="s">
        <v>619</v>
      </c>
      <c r="E132" s="21" t="s">
        <v>103</v>
      </c>
      <c r="F132" s="24" t="s">
        <v>620</v>
      </c>
      <c r="G132" s="22" t="s">
        <v>588</v>
      </c>
      <c r="H132" s="22" t="s">
        <v>203</v>
      </c>
      <c r="I132" s="22" t="s">
        <v>204</v>
      </c>
      <c r="J132" s="22" t="s">
        <v>621</v>
      </c>
      <c r="K132" s="24" t="s">
        <v>622</v>
      </c>
      <c r="L132" s="27">
        <v>1640</v>
      </c>
      <c r="M132" s="28">
        <v>0.06</v>
      </c>
      <c r="N132" s="29" t="s">
        <v>623</v>
      </c>
      <c r="O132" s="30">
        <v>1640</v>
      </c>
      <c r="P132" s="29" t="s">
        <v>623</v>
      </c>
      <c r="Q132" s="22" t="s">
        <v>103</v>
      </c>
      <c r="R132" s="22" t="s">
        <v>103</v>
      </c>
      <c r="S132" s="22" t="s">
        <v>152</v>
      </c>
      <c r="T132" s="22" t="s">
        <v>105</v>
      </c>
      <c r="U132" s="31"/>
      <c r="V132" s="24"/>
    </row>
    <row r="133" ht="14.25" spans="1:22">
      <c r="A133" s="21" t="s">
        <v>309</v>
      </c>
      <c r="B133" s="21" t="s">
        <v>310</v>
      </c>
      <c r="C133" s="22" t="s">
        <v>624</v>
      </c>
      <c r="D133" s="23" t="s">
        <v>625</v>
      </c>
      <c r="E133" s="21" t="s">
        <v>94</v>
      </c>
      <c r="F133" s="24" t="s">
        <v>182</v>
      </c>
      <c r="G133" s="22" t="s">
        <v>182</v>
      </c>
      <c r="H133" s="22"/>
      <c r="I133" s="22"/>
      <c r="J133" s="22"/>
      <c r="K133" s="24"/>
      <c r="L133" s="27">
        <v>9999</v>
      </c>
      <c r="M133" s="28">
        <v>0.06</v>
      </c>
      <c r="N133" s="29" t="s">
        <v>625</v>
      </c>
      <c r="O133" s="30">
        <v>9999</v>
      </c>
      <c r="P133" s="29" t="s">
        <v>625</v>
      </c>
      <c r="Q133" s="22" t="s">
        <v>94</v>
      </c>
      <c r="R133" s="22" t="s">
        <v>94</v>
      </c>
      <c r="S133" s="22" t="s">
        <v>152</v>
      </c>
      <c r="T133" s="22" t="s">
        <v>105</v>
      </c>
      <c r="U133" s="31"/>
      <c r="V133" s="24"/>
    </row>
    <row r="134" s="15" customFormat="1" ht="14.25" spans="1:22">
      <c r="A134" s="21" t="s">
        <v>336</v>
      </c>
      <c r="B134" s="21" t="s">
        <v>337</v>
      </c>
      <c r="C134" s="22" t="s">
        <v>626</v>
      </c>
      <c r="D134" s="23" t="s">
        <v>627</v>
      </c>
      <c r="E134" s="21" t="s">
        <v>103</v>
      </c>
      <c r="F134" s="24" t="s">
        <v>95</v>
      </c>
      <c r="G134" s="22" t="s">
        <v>96</v>
      </c>
      <c r="H134" s="22" t="s">
        <v>363</v>
      </c>
      <c r="I134" s="22" t="s">
        <v>204</v>
      </c>
      <c r="J134" s="22"/>
      <c r="K134" s="24" t="s">
        <v>99</v>
      </c>
      <c r="L134" s="27">
        <v>1798</v>
      </c>
      <c r="M134" s="28">
        <v>0.06</v>
      </c>
      <c r="N134" s="29" t="s">
        <v>628</v>
      </c>
      <c r="O134" s="30">
        <v>1798</v>
      </c>
      <c r="P134" s="29" t="s">
        <v>628</v>
      </c>
      <c r="Q134" s="22" t="s">
        <v>103</v>
      </c>
      <c r="R134" s="22" t="s">
        <v>103</v>
      </c>
      <c r="S134" s="22" t="s">
        <v>104</v>
      </c>
      <c r="T134" s="22" t="s">
        <v>105</v>
      </c>
      <c r="U134" s="31"/>
      <c r="V134" s="24" t="s">
        <v>629</v>
      </c>
    </row>
    <row r="135" ht="14.25" spans="1:22">
      <c r="A135" s="21" t="s">
        <v>336</v>
      </c>
      <c r="B135" s="21" t="s">
        <v>337</v>
      </c>
      <c r="C135" s="22" t="s">
        <v>630</v>
      </c>
      <c r="D135" s="23" t="s">
        <v>631</v>
      </c>
      <c r="E135" s="21" t="s">
        <v>103</v>
      </c>
      <c r="F135" s="24" t="s">
        <v>95</v>
      </c>
      <c r="G135" s="22" t="s">
        <v>96</v>
      </c>
      <c r="H135" s="22" t="s">
        <v>363</v>
      </c>
      <c r="I135" s="22" t="s">
        <v>204</v>
      </c>
      <c r="J135" s="22"/>
      <c r="K135" s="24" t="s">
        <v>99</v>
      </c>
      <c r="L135" s="27">
        <v>1798</v>
      </c>
      <c r="M135" s="28">
        <v>0.06</v>
      </c>
      <c r="N135" s="29" t="s">
        <v>628</v>
      </c>
      <c r="O135" s="30">
        <v>1798</v>
      </c>
      <c r="P135" s="29" t="s">
        <v>628</v>
      </c>
      <c r="Q135" s="22" t="s">
        <v>103</v>
      </c>
      <c r="R135" s="22" t="s">
        <v>103</v>
      </c>
      <c r="S135" s="22" t="s">
        <v>104</v>
      </c>
      <c r="T135" s="22" t="s">
        <v>105</v>
      </c>
      <c r="U135" s="31"/>
      <c r="V135" s="24" t="s">
        <v>629</v>
      </c>
    </row>
    <row r="136" ht="14.25" spans="1:22">
      <c r="A136" s="21" t="s">
        <v>90</v>
      </c>
      <c r="B136" s="21" t="s">
        <v>91</v>
      </c>
      <c r="C136" s="22" t="s">
        <v>632</v>
      </c>
      <c r="D136" s="23" t="s">
        <v>633</v>
      </c>
      <c r="E136" s="21" t="s">
        <v>94</v>
      </c>
      <c r="F136" s="24" t="s">
        <v>95</v>
      </c>
      <c r="G136" s="22" t="s">
        <v>96</v>
      </c>
      <c r="H136" s="22" t="s">
        <v>97</v>
      </c>
      <c r="I136" s="22" t="s">
        <v>98</v>
      </c>
      <c r="J136" s="22"/>
      <c r="K136" s="24" t="s">
        <v>124</v>
      </c>
      <c r="L136" s="27">
        <v>1553</v>
      </c>
      <c r="M136" s="28">
        <v>0.09</v>
      </c>
      <c r="N136" s="29" t="s">
        <v>634</v>
      </c>
      <c r="O136" s="30">
        <v>1553</v>
      </c>
      <c r="P136" s="29" t="s">
        <v>634</v>
      </c>
      <c r="Q136" s="22" t="s">
        <v>103</v>
      </c>
      <c r="R136" s="22" t="s">
        <v>103</v>
      </c>
      <c r="S136" s="22" t="s">
        <v>104</v>
      </c>
      <c r="T136" s="22" t="s">
        <v>105</v>
      </c>
      <c r="U136" s="31"/>
      <c r="V136" s="24"/>
    </row>
    <row r="137" ht="14.25" spans="1:22">
      <c r="A137" s="21" t="s">
        <v>90</v>
      </c>
      <c r="B137" s="21" t="s">
        <v>91</v>
      </c>
      <c r="C137" s="22" t="s">
        <v>635</v>
      </c>
      <c r="D137" s="23" t="s">
        <v>636</v>
      </c>
      <c r="E137" s="21" t="s">
        <v>94</v>
      </c>
      <c r="F137" s="24" t="s">
        <v>95</v>
      </c>
      <c r="G137" s="22" t="s">
        <v>96</v>
      </c>
      <c r="H137" s="22" t="s">
        <v>97</v>
      </c>
      <c r="I137" s="22" t="s">
        <v>98</v>
      </c>
      <c r="J137" s="22"/>
      <c r="K137" s="24" t="s">
        <v>124</v>
      </c>
      <c r="L137" s="27">
        <v>1553</v>
      </c>
      <c r="M137" s="28">
        <v>0.09</v>
      </c>
      <c r="N137" s="29" t="s">
        <v>634</v>
      </c>
      <c r="O137" s="30">
        <v>1553</v>
      </c>
      <c r="P137" s="29" t="s">
        <v>634</v>
      </c>
      <c r="Q137" s="22" t="s">
        <v>103</v>
      </c>
      <c r="R137" s="22" t="s">
        <v>103</v>
      </c>
      <c r="S137" s="22" t="s">
        <v>104</v>
      </c>
      <c r="T137" s="22" t="s">
        <v>105</v>
      </c>
      <c r="U137" s="31"/>
      <c r="V137" s="24"/>
    </row>
    <row r="138" ht="14.25" spans="1:22">
      <c r="A138" s="21" t="s">
        <v>90</v>
      </c>
      <c r="B138" s="21" t="s">
        <v>91</v>
      </c>
      <c r="C138" s="22" t="s">
        <v>637</v>
      </c>
      <c r="D138" s="23" t="s">
        <v>638</v>
      </c>
      <c r="E138" s="21" t="s">
        <v>94</v>
      </c>
      <c r="F138" s="24" t="s">
        <v>95</v>
      </c>
      <c r="G138" s="22" t="s">
        <v>96</v>
      </c>
      <c r="H138" s="22" t="s">
        <v>97</v>
      </c>
      <c r="I138" s="22" t="s">
        <v>98</v>
      </c>
      <c r="J138" s="22"/>
      <c r="K138" s="24" t="s">
        <v>639</v>
      </c>
      <c r="L138" s="27">
        <v>1400</v>
      </c>
      <c r="M138" s="28">
        <v>0.06</v>
      </c>
      <c r="N138" s="29" t="s">
        <v>640</v>
      </c>
      <c r="O138" s="30" t="s">
        <v>641</v>
      </c>
      <c r="P138" s="29" t="s">
        <v>642</v>
      </c>
      <c r="Q138" s="22" t="s">
        <v>103</v>
      </c>
      <c r="R138" s="22" t="s">
        <v>103</v>
      </c>
      <c r="S138" s="22" t="s">
        <v>104</v>
      </c>
      <c r="T138" s="22" t="s">
        <v>105</v>
      </c>
      <c r="U138" s="31"/>
      <c r="V138" s="24"/>
    </row>
    <row r="139" ht="14.25" spans="1:22">
      <c r="A139" s="21" t="s">
        <v>90</v>
      </c>
      <c r="B139" s="21" t="s">
        <v>91</v>
      </c>
      <c r="C139" s="22" t="s">
        <v>643</v>
      </c>
      <c r="D139" s="23" t="s">
        <v>644</v>
      </c>
      <c r="E139" s="21" t="s">
        <v>94</v>
      </c>
      <c r="F139" s="24" t="s">
        <v>95</v>
      </c>
      <c r="G139" s="22" t="s">
        <v>96</v>
      </c>
      <c r="H139" s="22" t="s">
        <v>97</v>
      </c>
      <c r="I139" s="22" t="s">
        <v>98</v>
      </c>
      <c r="J139" s="22"/>
      <c r="K139" s="24" t="s">
        <v>99</v>
      </c>
      <c r="L139" s="27">
        <v>1572</v>
      </c>
      <c r="M139" s="28">
        <v>0.09</v>
      </c>
      <c r="N139" s="29" t="s">
        <v>645</v>
      </c>
      <c r="O139" s="30">
        <v>1572</v>
      </c>
      <c r="P139" s="29" t="s">
        <v>645</v>
      </c>
      <c r="Q139" s="22" t="s">
        <v>103</v>
      </c>
      <c r="R139" s="22" t="s">
        <v>103</v>
      </c>
      <c r="S139" s="22" t="s">
        <v>104</v>
      </c>
      <c r="T139" s="22" t="s">
        <v>105</v>
      </c>
      <c r="U139" s="31"/>
      <c r="V139" s="24"/>
    </row>
    <row r="140" ht="14.25" spans="1:22">
      <c r="A140" s="21" t="s">
        <v>90</v>
      </c>
      <c r="B140" s="21" t="s">
        <v>91</v>
      </c>
      <c r="C140" s="22" t="s">
        <v>646</v>
      </c>
      <c r="D140" s="23" t="s">
        <v>647</v>
      </c>
      <c r="E140" s="21" t="s">
        <v>94</v>
      </c>
      <c r="F140" s="24" t="s">
        <v>95</v>
      </c>
      <c r="G140" s="22" t="s">
        <v>96</v>
      </c>
      <c r="H140" s="22" t="s">
        <v>97</v>
      </c>
      <c r="I140" s="22" t="s">
        <v>98</v>
      </c>
      <c r="J140" s="22"/>
      <c r="K140" s="24" t="s">
        <v>124</v>
      </c>
      <c r="L140" s="27">
        <v>1959</v>
      </c>
      <c r="M140" s="28">
        <v>0.09</v>
      </c>
      <c r="N140" s="29" t="s">
        <v>648</v>
      </c>
      <c r="O140" s="30">
        <v>1959</v>
      </c>
      <c r="P140" s="29" t="s">
        <v>648</v>
      </c>
      <c r="Q140" s="22" t="s">
        <v>103</v>
      </c>
      <c r="R140" s="22" t="s">
        <v>103</v>
      </c>
      <c r="S140" s="22" t="s">
        <v>104</v>
      </c>
      <c r="T140" s="22" t="s">
        <v>105</v>
      </c>
      <c r="U140" s="31"/>
      <c r="V140" s="24"/>
    </row>
    <row r="141" ht="14.25" spans="1:22">
      <c r="A141" s="21" t="s">
        <v>336</v>
      </c>
      <c r="B141" s="21" t="s">
        <v>337</v>
      </c>
      <c r="C141" s="22" t="s">
        <v>649</v>
      </c>
      <c r="D141" s="23" t="s">
        <v>650</v>
      </c>
      <c r="E141" s="21" t="s">
        <v>103</v>
      </c>
      <c r="F141" s="24"/>
      <c r="G141" s="22"/>
      <c r="H141" s="22" t="s">
        <v>363</v>
      </c>
      <c r="I141" s="22" t="s">
        <v>204</v>
      </c>
      <c r="J141" s="22"/>
      <c r="K141" s="24"/>
      <c r="L141" s="27">
        <v>1940</v>
      </c>
      <c r="M141" s="28">
        <v>0.06</v>
      </c>
      <c r="N141" s="29" t="s">
        <v>651</v>
      </c>
      <c r="O141" s="30">
        <v>1940</v>
      </c>
      <c r="P141" s="29" t="s">
        <v>651</v>
      </c>
      <c r="Q141" s="22" t="s">
        <v>103</v>
      </c>
      <c r="R141" s="22" t="s">
        <v>103</v>
      </c>
      <c r="S141" s="22" t="s">
        <v>152</v>
      </c>
      <c r="T141" s="22" t="s">
        <v>105</v>
      </c>
      <c r="U141" s="31"/>
      <c r="V141" s="24" t="s">
        <v>652</v>
      </c>
    </row>
    <row r="142" ht="14.25" spans="1:22">
      <c r="A142" s="21" t="s">
        <v>336</v>
      </c>
      <c r="B142" s="21" t="s">
        <v>337</v>
      </c>
      <c r="C142" s="22" t="s">
        <v>653</v>
      </c>
      <c r="D142" s="23" t="s">
        <v>654</v>
      </c>
      <c r="E142" s="21" t="s">
        <v>103</v>
      </c>
      <c r="F142" s="24"/>
      <c r="G142" s="22"/>
      <c r="H142" s="22" t="s">
        <v>363</v>
      </c>
      <c r="I142" s="22" t="s">
        <v>204</v>
      </c>
      <c r="J142" s="22"/>
      <c r="K142" s="24"/>
      <c r="L142" s="27">
        <v>2345</v>
      </c>
      <c r="M142" s="28">
        <v>0.06</v>
      </c>
      <c r="N142" s="29" t="s">
        <v>655</v>
      </c>
      <c r="O142" s="30">
        <v>2345</v>
      </c>
      <c r="P142" s="29" t="s">
        <v>655</v>
      </c>
      <c r="Q142" s="22" t="s">
        <v>103</v>
      </c>
      <c r="R142" s="22" t="s">
        <v>103</v>
      </c>
      <c r="S142" s="22" t="s">
        <v>152</v>
      </c>
      <c r="T142" s="22" t="s">
        <v>105</v>
      </c>
      <c r="U142" s="31"/>
      <c r="V142" s="24"/>
    </row>
    <row r="143" ht="14.25" spans="1:22">
      <c r="A143" s="21" t="s">
        <v>199</v>
      </c>
      <c r="B143" s="21" t="s">
        <v>200</v>
      </c>
      <c r="C143" s="22" t="s">
        <v>656</v>
      </c>
      <c r="D143" s="23" t="s">
        <v>657</v>
      </c>
      <c r="E143" s="21" t="s">
        <v>103</v>
      </c>
      <c r="F143" s="24"/>
      <c r="G143" s="22"/>
      <c r="H143" s="22" t="s">
        <v>203</v>
      </c>
      <c r="I143" s="22" t="s">
        <v>204</v>
      </c>
      <c r="J143" s="22"/>
      <c r="K143" s="24"/>
      <c r="L143" s="27">
        <v>2912</v>
      </c>
      <c r="M143" s="28">
        <v>0.06</v>
      </c>
      <c r="N143" s="29" t="s">
        <v>341</v>
      </c>
      <c r="O143" s="27">
        <v>2912</v>
      </c>
      <c r="P143" s="29" t="s">
        <v>341</v>
      </c>
      <c r="Q143" s="22" t="s">
        <v>103</v>
      </c>
      <c r="R143" s="22" t="s">
        <v>103</v>
      </c>
      <c r="S143" s="22" t="s">
        <v>152</v>
      </c>
      <c r="T143" s="22" t="s">
        <v>105</v>
      </c>
      <c r="U143" s="31"/>
      <c r="V143" s="32" t="s">
        <v>342</v>
      </c>
    </row>
    <row r="144" ht="14.25" spans="1:22">
      <c r="A144" s="21" t="s">
        <v>336</v>
      </c>
      <c r="B144" s="21" t="s">
        <v>337</v>
      </c>
      <c r="C144" s="22" t="s">
        <v>658</v>
      </c>
      <c r="D144" s="23" t="s">
        <v>659</v>
      </c>
      <c r="E144" s="21" t="s">
        <v>103</v>
      </c>
      <c r="F144" s="24"/>
      <c r="G144" s="22"/>
      <c r="H144" s="22" t="s">
        <v>363</v>
      </c>
      <c r="I144" s="22" t="s">
        <v>204</v>
      </c>
      <c r="J144" s="22"/>
      <c r="K144" s="24"/>
      <c r="L144" s="27">
        <v>1938</v>
      </c>
      <c r="M144" s="28">
        <v>0.06</v>
      </c>
      <c r="N144" s="29" t="s">
        <v>660</v>
      </c>
      <c r="O144" s="30">
        <v>1938</v>
      </c>
      <c r="P144" s="29" t="s">
        <v>660</v>
      </c>
      <c r="Q144" s="22" t="s">
        <v>103</v>
      </c>
      <c r="R144" s="22" t="s">
        <v>103</v>
      </c>
      <c r="S144" s="22" t="s">
        <v>152</v>
      </c>
      <c r="T144" s="22" t="s">
        <v>105</v>
      </c>
      <c r="U144" s="31"/>
      <c r="V144" s="24"/>
    </row>
    <row r="145" ht="14.25" spans="1:22">
      <c r="A145" s="21" t="s">
        <v>336</v>
      </c>
      <c r="B145" s="21" t="s">
        <v>337</v>
      </c>
      <c r="C145" s="22" t="s">
        <v>661</v>
      </c>
      <c r="D145" s="23" t="s">
        <v>662</v>
      </c>
      <c r="E145" s="21" t="s">
        <v>103</v>
      </c>
      <c r="F145" s="24"/>
      <c r="G145" s="22"/>
      <c r="H145" s="22" t="s">
        <v>363</v>
      </c>
      <c r="I145" s="22" t="s">
        <v>204</v>
      </c>
      <c r="J145" s="22"/>
      <c r="K145" s="24"/>
      <c r="L145" s="27">
        <v>1939</v>
      </c>
      <c r="M145" s="28">
        <v>0.06</v>
      </c>
      <c r="N145" s="29" t="s">
        <v>663</v>
      </c>
      <c r="O145" s="30">
        <v>1939</v>
      </c>
      <c r="P145" s="29" t="s">
        <v>663</v>
      </c>
      <c r="Q145" s="22" t="s">
        <v>103</v>
      </c>
      <c r="R145" s="22" t="s">
        <v>103</v>
      </c>
      <c r="S145" s="22" t="s">
        <v>152</v>
      </c>
      <c r="T145" s="22" t="s">
        <v>105</v>
      </c>
      <c r="U145" s="31"/>
      <c r="V145" s="24"/>
    </row>
    <row r="146" ht="14.25" spans="1:22">
      <c r="A146" s="21" t="s">
        <v>199</v>
      </c>
      <c r="B146" s="21" t="s">
        <v>200</v>
      </c>
      <c r="C146" s="22" t="s">
        <v>664</v>
      </c>
      <c r="D146" s="23" t="s">
        <v>665</v>
      </c>
      <c r="E146" s="21" t="s">
        <v>103</v>
      </c>
      <c r="F146" s="24"/>
      <c r="G146" s="22"/>
      <c r="H146" s="22" t="s">
        <v>203</v>
      </c>
      <c r="I146" s="22" t="s">
        <v>204</v>
      </c>
      <c r="J146" s="22"/>
      <c r="K146" s="24"/>
      <c r="L146" s="27">
        <v>1912</v>
      </c>
      <c r="M146" s="28">
        <v>0.06</v>
      </c>
      <c r="N146" s="29" t="s">
        <v>666</v>
      </c>
      <c r="O146" s="30">
        <v>1912</v>
      </c>
      <c r="P146" s="29" t="s">
        <v>666</v>
      </c>
      <c r="Q146" s="22" t="s">
        <v>103</v>
      </c>
      <c r="R146" s="22" t="s">
        <v>103</v>
      </c>
      <c r="S146" s="22" t="s">
        <v>152</v>
      </c>
      <c r="T146" s="22" t="s">
        <v>105</v>
      </c>
      <c r="U146" s="31"/>
      <c r="V146" s="24"/>
    </row>
    <row r="147" ht="14.25" spans="1:22">
      <c r="A147" s="21" t="s">
        <v>199</v>
      </c>
      <c r="B147" s="21" t="s">
        <v>200</v>
      </c>
      <c r="C147" s="22" t="s">
        <v>667</v>
      </c>
      <c r="D147" s="23" t="s">
        <v>668</v>
      </c>
      <c r="E147" s="21" t="s">
        <v>103</v>
      </c>
      <c r="F147" s="24"/>
      <c r="G147" s="22"/>
      <c r="H147" s="22" t="s">
        <v>203</v>
      </c>
      <c r="I147" s="22" t="s">
        <v>204</v>
      </c>
      <c r="J147" s="22"/>
      <c r="K147" s="24"/>
      <c r="L147" s="27">
        <v>1913</v>
      </c>
      <c r="M147" s="28">
        <v>0.06</v>
      </c>
      <c r="N147" s="29" t="s">
        <v>669</v>
      </c>
      <c r="O147" s="30">
        <v>1913</v>
      </c>
      <c r="P147" s="29" t="s">
        <v>669</v>
      </c>
      <c r="Q147" s="22" t="s">
        <v>103</v>
      </c>
      <c r="R147" s="22" t="s">
        <v>103</v>
      </c>
      <c r="S147" s="22" t="s">
        <v>152</v>
      </c>
      <c r="T147" s="22" t="s">
        <v>105</v>
      </c>
      <c r="U147" s="31"/>
      <c r="V147" s="24"/>
    </row>
    <row r="148" ht="14.25" spans="1:22">
      <c r="A148" s="21" t="s">
        <v>199</v>
      </c>
      <c r="B148" s="21" t="s">
        <v>200</v>
      </c>
      <c r="C148" s="22" t="s">
        <v>670</v>
      </c>
      <c r="D148" s="23" t="s">
        <v>671</v>
      </c>
      <c r="E148" s="21" t="s">
        <v>103</v>
      </c>
      <c r="F148" s="24"/>
      <c r="G148" s="22"/>
      <c r="H148" s="22" t="s">
        <v>203</v>
      </c>
      <c r="I148" s="22" t="s">
        <v>204</v>
      </c>
      <c r="J148" s="22"/>
      <c r="K148" s="24"/>
      <c r="L148" s="27">
        <v>1914</v>
      </c>
      <c r="M148" s="28">
        <v>0.06</v>
      </c>
      <c r="N148" s="29" t="s">
        <v>672</v>
      </c>
      <c r="O148" s="30">
        <v>1914</v>
      </c>
      <c r="P148" s="29" t="s">
        <v>672</v>
      </c>
      <c r="Q148" s="22" t="s">
        <v>103</v>
      </c>
      <c r="R148" s="22" t="s">
        <v>103</v>
      </c>
      <c r="S148" s="22" t="s">
        <v>152</v>
      </c>
      <c r="T148" s="22" t="s">
        <v>105</v>
      </c>
      <c r="U148" s="31"/>
      <c r="V148" s="24"/>
    </row>
    <row r="149" ht="14.25" spans="1:22">
      <c r="A149" s="21" t="s">
        <v>199</v>
      </c>
      <c r="B149" s="21" t="s">
        <v>200</v>
      </c>
      <c r="C149" s="22" t="s">
        <v>673</v>
      </c>
      <c r="D149" s="23" t="s">
        <v>674</v>
      </c>
      <c r="E149" s="21" t="s">
        <v>103</v>
      </c>
      <c r="F149" s="24"/>
      <c r="G149" s="22"/>
      <c r="H149" s="22" t="s">
        <v>203</v>
      </c>
      <c r="I149" s="22" t="s">
        <v>204</v>
      </c>
      <c r="J149" s="22"/>
      <c r="K149" s="24"/>
      <c r="L149" s="27">
        <v>1915</v>
      </c>
      <c r="M149" s="28">
        <v>0.06</v>
      </c>
      <c r="N149" s="29" t="s">
        <v>675</v>
      </c>
      <c r="O149" s="30">
        <v>1915</v>
      </c>
      <c r="P149" s="29" t="s">
        <v>675</v>
      </c>
      <c r="Q149" s="22" t="s">
        <v>103</v>
      </c>
      <c r="R149" s="22" t="s">
        <v>103</v>
      </c>
      <c r="S149" s="22" t="s">
        <v>152</v>
      </c>
      <c r="T149" s="22" t="s">
        <v>105</v>
      </c>
      <c r="U149" s="31"/>
      <c r="V149" s="24"/>
    </row>
    <row r="150" ht="14.25" spans="1:22">
      <c r="A150" s="21" t="s">
        <v>199</v>
      </c>
      <c r="B150" s="21" t="s">
        <v>200</v>
      </c>
      <c r="C150" s="22" t="s">
        <v>676</v>
      </c>
      <c r="D150" s="23" t="s">
        <v>677</v>
      </c>
      <c r="E150" s="21" t="s">
        <v>103</v>
      </c>
      <c r="F150" s="24"/>
      <c r="G150" s="22"/>
      <c r="H150" s="22" t="s">
        <v>203</v>
      </c>
      <c r="I150" s="22" t="s">
        <v>204</v>
      </c>
      <c r="J150" s="22"/>
      <c r="K150" s="24"/>
      <c r="L150" s="27">
        <v>1577</v>
      </c>
      <c r="M150" s="28">
        <v>0.06</v>
      </c>
      <c r="N150" s="29" t="s">
        <v>214</v>
      </c>
      <c r="O150" s="30">
        <v>1577</v>
      </c>
      <c r="P150" s="29" t="s">
        <v>214</v>
      </c>
      <c r="Q150" s="22" t="s">
        <v>103</v>
      </c>
      <c r="R150" s="22" t="s">
        <v>103</v>
      </c>
      <c r="S150" s="22" t="s">
        <v>152</v>
      </c>
      <c r="T150" s="22" t="s">
        <v>105</v>
      </c>
      <c r="U150" s="31"/>
      <c r="V150" s="24" t="s">
        <v>215</v>
      </c>
    </row>
    <row r="151" ht="14.25" spans="1:22">
      <c r="A151" s="21" t="s">
        <v>199</v>
      </c>
      <c r="B151" s="21" t="s">
        <v>200</v>
      </c>
      <c r="C151" s="22" t="s">
        <v>678</v>
      </c>
      <c r="D151" s="23" t="s">
        <v>679</v>
      </c>
      <c r="E151" s="21" t="s">
        <v>103</v>
      </c>
      <c r="F151" s="24"/>
      <c r="G151" s="22"/>
      <c r="H151" s="22" t="s">
        <v>203</v>
      </c>
      <c r="I151" s="22" t="s">
        <v>204</v>
      </c>
      <c r="J151" s="22"/>
      <c r="K151" s="24"/>
      <c r="L151" s="27">
        <v>1577</v>
      </c>
      <c r="M151" s="28">
        <v>0.06</v>
      </c>
      <c r="N151" s="29" t="s">
        <v>214</v>
      </c>
      <c r="O151" s="30">
        <v>1577</v>
      </c>
      <c r="P151" s="29" t="s">
        <v>214</v>
      </c>
      <c r="Q151" s="22" t="s">
        <v>103</v>
      </c>
      <c r="R151" s="22" t="s">
        <v>103</v>
      </c>
      <c r="S151" s="22" t="s">
        <v>152</v>
      </c>
      <c r="T151" s="22" t="s">
        <v>105</v>
      </c>
      <c r="U151" s="31"/>
      <c r="V151" s="24" t="s">
        <v>215</v>
      </c>
    </row>
    <row r="152" ht="14.25" spans="1:22">
      <c r="A152" s="21" t="s">
        <v>440</v>
      </c>
      <c r="B152" s="21" t="s">
        <v>441</v>
      </c>
      <c r="C152" s="22" t="s">
        <v>680</v>
      </c>
      <c r="D152" s="23" t="s">
        <v>681</v>
      </c>
      <c r="E152" s="21" t="s">
        <v>103</v>
      </c>
      <c r="F152" s="24"/>
      <c r="G152" s="22"/>
      <c r="H152" s="22" t="s">
        <v>444</v>
      </c>
      <c r="I152" s="22" t="s">
        <v>204</v>
      </c>
      <c r="J152" s="22"/>
      <c r="K152" s="24"/>
      <c r="L152" s="27">
        <v>1579</v>
      </c>
      <c r="M152" s="28">
        <v>0.06</v>
      </c>
      <c r="N152" s="29" t="s">
        <v>286</v>
      </c>
      <c r="O152" s="30">
        <v>1579</v>
      </c>
      <c r="P152" s="29" t="s">
        <v>286</v>
      </c>
      <c r="Q152" s="22" t="s">
        <v>103</v>
      </c>
      <c r="R152" s="22" t="s">
        <v>103</v>
      </c>
      <c r="S152" s="22" t="s">
        <v>152</v>
      </c>
      <c r="T152" s="22" t="s">
        <v>105</v>
      </c>
      <c r="U152" s="31"/>
      <c r="V152" s="24" t="s">
        <v>287</v>
      </c>
    </row>
    <row r="153" ht="14.25" spans="1:22">
      <c r="A153" s="21" t="s">
        <v>199</v>
      </c>
      <c r="B153" s="21" t="s">
        <v>200</v>
      </c>
      <c r="C153" s="22" t="s">
        <v>682</v>
      </c>
      <c r="D153" s="23" t="s">
        <v>683</v>
      </c>
      <c r="E153" s="21" t="s">
        <v>103</v>
      </c>
      <c r="F153" s="24"/>
      <c r="G153" s="22"/>
      <c r="H153" s="22" t="s">
        <v>203</v>
      </c>
      <c r="I153" s="22" t="s">
        <v>204</v>
      </c>
      <c r="J153" s="22"/>
      <c r="K153" s="24"/>
      <c r="L153" s="27">
        <v>1590</v>
      </c>
      <c r="M153" s="28">
        <v>0.06</v>
      </c>
      <c r="N153" s="29" t="s">
        <v>210</v>
      </c>
      <c r="O153" s="30">
        <v>1590</v>
      </c>
      <c r="P153" s="29" t="s">
        <v>210</v>
      </c>
      <c r="Q153" s="22" t="s">
        <v>103</v>
      </c>
      <c r="R153" s="22" t="s">
        <v>103</v>
      </c>
      <c r="S153" s="22" t="s">
        <v>152</v>
      </c>
      <c r="T153" s="22" t="s">
        <v>105</v>
      </c>
      <c r="U153" s="31"/>
      <c r="V153" s="24" t="s">
        <v>211</v>
      </c>
    </row>
    <row r="154" ht="14.25" spans="1:22">
      <c r="A154" s="21" t="s">
        <v>199</v>
      </c>
      <c r="B154" s="21" t="s">
        <v>200</v>
      </c>
      <c r="C154" s="22" t="s">
        <v>684</v>
      </c>
      <c r="D154" s="23" t="s">
        <v>685</v>
      </c>
      <c r="E154" s="21" t="s">
        <v>103</v>
      </c>
      <c r="F154" s="24"/>
      <c r="G154" s="22"/>
      <c r="H154" s="22" t="s">
        <v>203</v>
      </c>
      <c r="I154" s="22" t="s">
        <v>204</v>
      </c>
      <c r="J154" s="22"/>
      <c r="K154" s="24"/>
      <c r="L154" s="27">
        <v>1590</v>
      </c>
      <c r="M154" s="28">
        <v>0.06</v>
      </c>
      <c r="N154" s="29" t="s">
        <v>210</v>
      </c>
      <c r="O154" s="30">
        <v>1590</v>
      </c>
      <c r="P154" s="29" t="s">
        <v>210</v>
      </c>
      <c r="Q154" s="22" t="s">
        <v>103</v>
      </c>
      <c r="R154" s="22" t="s">
        <v>103</v>
      </c>
      <c r="S154" s="22" t="s">
        <v>152</v>
      </c>
      <c r="T154" s="22" t="s">
        <v>105</v>
      </c>
      <c r="U154" s="31"/>
      <c r="V154" s="24" t="s">
        <v>211</v>
      </c>
    </row>
    <row r="155" ht="14.25" spans="1:22">
      <c r="A155" s="21" t="s">
        <v>199</v>
      </c>
      <c r="B155" s="21" t="s">
        <v>200</v>
      </c>
      <c r="C155" s="22" t="s">
        <v>686</v>
      </c>
      <c r="D155" s="23" t="s">
        <v>687</v>
      </c>
      <c r="E155" s="21" t="s">
        <v>103</v>
      </c>
      <c r="F155" s="24"/>
      <c r="G155" s="22"/>
      <c r="H155" s="22" t="s">
        <v>203</v>
      </c>
      <c r="I155" s="22" t="s">
        <v>204</v>
      </c>
      <c r="J155" s="22"/>
      <c r="K155" s="24"/>
      <c r="L155" s="27">
        <v>1592</v>
      </c>
      <c r="M155" s="28">
        <v>0.06</v>
      </c>
      <c r="N155" s="29" t="s">
        <v>331</v>
      </c>
      <c r="O155" s="30">
        <v>1592</v>
      </c>
      <c r="P155" s="29" t="s">
        <v>331</v>
      </c>
      <c r="Q155" s="22" t="s">
        <v>103</v>
      </c>
      <c r="R155" s="22" t="s">
        <v>103</v>
      </c>
      <c r="S155" s="22" t="s">
        <v>152</v>
      </c>
      <c r="T155" s="22" t="s">
        <v>105</v>
      </c>
      <c r="U155" s="31"/>
      <c r="V155" s="24" t="s">
        <v>332</v>
      </c>
    </row>
    <row r="156" ht="14.25" spans="1:22">
      <c r="A156" s="21" t="s">
        <v>199</v>
      </c>
      <c r="B156" s="21" t="s">
        <v>200</v>
      </c>
      <c r="C156" s="22" t="s">
        <v>688</v>
      </c>
      <c r="D156" s="23" t="s">
        <v>689</v>
      </c>
      <c r="E156" s="21" t="s">
        <v>103</v>
      </c>
      <c r="F156" s="24"/>
      <c r="G156" s="22"/>
      <c r="H156" s="22" t="s">
        <v>203</v>
      </c>
      <c r="I156" s="22" t="s">
        <v>204</v>
      </c>
      <c r="J156" s="22"/>
      <c r="K156" s="24"/>
      <c r="L156" s="27">
        <v>1580</v>
      </c>
      <c r="M156" s="28">
        <v>0.06</v>
      </c>
      <c r="N156" s="29" t="s">
        <v>232</v>
      </c>
      <c r="O156" s="30">
        <v>1580</v>
      </c>
      <c r="P156" s="29" t="s">
        <v>232</v>
      </c>
      <c r="Q156" s="22" t="s">
        <v>103</v>
      </c>
      <c r="R156" s="22" t="s">
        <v>103</v>
      </c>
      <c r="S156" s="22" t="s">
        <v>152</v>
      </c>
      <c r="T156" s="22" t="s">
        <v>105</v>
      </c>
      <c r="U156" s="31"/>
      <c r="V156" s="24" t="s">
        <v>233</v>
      </c>
    </row>
    <row r="157" ht="14.25" spans="1:22">
      <c r="A157" s="21" t="s">
        <v>153</v>
      </c>
      <c r="B157" s="21" t="s">
        <v>154</v>
      </c>
      <c r="C157" s="22" t="s">
        <v>690</v>
      </c>
      <c r="D157" s="23" t="s">
        <v>691</v>
      </c>
      <c r="E157" s="21" t="s">
        <v>103</v>
      </c>
      <c r="F157" s="24"/>
      <c r="G157" s="22"/>
      <c r="H157" s="22" t="s">
        <v>157</v>
      </c>
      <c r="I157" s="22" t="s">
        <v>204</v>
      </c>
      <c r="J157" s="22"/>
      <c r="K157" s="24"/>
      <c r="L157" s="27">
        <v>1722</v>
      </c>
      <c r="M157" s="28">
        <v>0.06</v>
      </c>
      <c r="N157" s="29" t="s">
        <v>692</v>
      </c>
      <c r="O157" s="30">
        <v>1722</v>
      </c>
      <c r="P157" s="29" t="s">
        <v>692</v>
      </c>
      <c r="Q157" s="22" t="s">
        <v>103</v>
      </c>
      <c r="R157" s="22" t="s">
        <v>103</v>
      </c>
      <c r="S157" s="22" t="s">
        <v>152</v>
      </c>
      <c r="T157" s="22" t="s">
        <v>105</v>
      </c>
      <c r="U157" s="31"/>
      <c r="V157" s="24"/>
    </row>
    <row r="158" ht="14.25" spans="1:22">
      <c r="A158" s="21" t="s">
        <v>192</v>
      </c>
      <c r="B158" s="21" t="s">
        <v>193</v>
      </c>
      <c r="C158" s="22" t="s">
        <v>693</v>
      </c>
      <c r="D158" s="23" t="s">
        <v>694</v>
      </c>
      <c r="E158" s="21" t="s">
        <v>103</v>
      </c>
      <c r="F158" s="24"/>
      <c r="G158" s="22"/>
      <c r="H158" s="22" t="s">
        <v>97</v>
      </c>
      <c r="I158" s="22" t="s">
        <v>204</v>
      </c>
      <c r="J158" s="22"/>
      <c r="K158" s="24"/>
      <c r="L158" s="27">
        <v>1120</v>
      </c>
      <c r="M158" s="28">
        <v>0.06</v>
      </c>
      <c r="N158" s="29" t="s">
        <v>695</v>
      </c>
      <c r="O158" s="30">
        <v>1120</v>
      </c>
      <c r="P158" s="29" t="s">
        <v>695</v>
      </c>
      <c r="Q158" s="22" t="s">
        <v>103</v>
      </c>
      <c r="R158" s="22" t="s">
        <v>103</v>
      </c>
      <c r="S158" s="22" t="s">
        <v>152</v>
      </c>
      <c r="T158" s="22" t="s">
        <v>105</v>
      </c>
      <c r="U158" s="31"/>
      <c r="V158" s="24" t="s">
        <v>696</v>
      </c>
    </row>
    <row r="159" ht="14.25" spans="1:22">
      <c r="A159" s="21" t="s">
        <v>192</v>
      </c>
      <c r="B159" s="21" t="s">
        <v>193</v>
      </c>
      <c r="C159" s="22" t="s">
        <v>697</v>
      </c>
      <c r="D159" s="23" t="s">
        <v>698</v>
      </c>
      <c r="E159" s="21" t="s">
        <v>103</v>
      </c>
      <c r="F159" s="24"/>
      <c r="G159" s="22"/>
      <c r="H159" s="22" t="s">
        <v>97</v>
      </c>
      <c r="I159" s="22" t="s">
        <v>204</v>
      </c>
      <c r="J159" s="22"/>
      <c r="K159" s="24"/>
      <c r="L159" s="27">
        <v>1120</v>
      </c>
      <c r="M159" s="28">
        <v>0.06</v>
      </c>
      <c r="N159" s="29" t="s">
        <v>695</v>
      </c>
      <c r="O159" s="30">
        <v>1120</v>
      </c>
      <c r="P159" s="29" t="s">
        <v>695</v>
      </c>
      <c r="Q159" s="22" t="s">
        <v>103</v>
      </c>
      <c r="R159" s="22" t="s">
        <v>103</v>
      </c>
      <c r="S159" s="22" t="s">
        <v>152</v>
      </c>
      <c r="T159" s="22" t="s">
        <v>105</v>
      </c>
      <c r="U159" s="31"/>
      <c r="V159" s="24" t="s">
        <v>696</v>
      </c>
    </row>
    <row r="160" ht="14.25" spans="1:22">
      <c r="A160" s="21" t="s">
        <v>192</v>
      </c>
      <c r="B160" s="21" t="s">
        <v>193</v>
      </c>
      <c r="C160" s="22" t="s">
        <v>699</v>
      </c>
      <c r="D160" s="23" t="s">
        <v>700</v>
      </c>
      <c r="E160" s="21" t="s">
        <v>103</v>
      </c>
      <c r="F160" s="24"/>
      <c r="G160" s="22"/>
      <c r="H160" s="22" t="s">
        <v>97</v>
      </c>
      <c r="I160" s="22" t="s">
        <v>204</v>
      </c>
      <c r="J160" s="22"/>
      <c r="K160" s="24"/>
      <c r="L160" s="27">
        <v>1120</v>
      </c>
      <c r="M160" s="28">
        <v>0.06</v>
      </c>
      <c r="N160" s="29" t="s">
        <v>695</v>
      </c>
      <c r="O160" s="30">
        <v>1120</v>
      </c>
      <c r="P160" s="29" t="s">
        <v>695</v>
      </c>
      <c r="Q160" s="22" t="s">
        <v>103</v>
      </c>
      <c r="R160" s="22" t="s">
        <v>103</v>
      </c>
      <c r="S160" s="22" t="s">
        <v>152</v>
      </c>
      <c r="T160" s="22" t="s">
        <v>105</v>
      </c>
      <c r="U160" s="31"/>
      <c r="V160" s="24" t="s">
        <v>696</v>
      </c>
    </row>
    <row r="161" ht="14.25" spans="1:22">
      <c r="A161" s="21" t="s">
        <v>701</v>
      </c>
      <c r="B161" s="21" t="s">
        <v>702</v>
      </c>
      <c r="C161" s="22" t="s">
        <v>703</v>
      </c>
      <c r="D161" s="23" t="s">
        <v>704</v>
      </c>
      <c r="E161" s="21" t="s">
        <v>103</v>
      </c>
      <c r="F161" s="24"/>
      <c r="G161" s="22"/>
      <c r="H161" s="22" t="s">
        <v>363</v>
      </c>
      <c r="I161" s="22" t="s">
        <v>204</v>
      </c>
      <c r="J161" s="22"/>
      <c r="K161" s="24" t="s">
        <v>99</v>
      </c>
      <c r="L161" s="27">
        <v>1572</v>
      </c>
      <c r="M161" s="28">
        <v>0.09</v>
      </c>
      <c r="N161" s="29" t="s">
        <v>645</v>
      </c>
      <c r="O161" s="30">
        <v>1572</v>
      </c>
      <c r="P161" s="29" t="s">
        <v>645</v>
      </c>
      <c r="Q161" s="22" t="s">
        <v>103</v>
      </c>
      <c r="R161" s="22" t="s">
        <v>103</v>
      </c>
      <c r="S161" s="22" t="s">
        <v>104</v>
      </c>
      <c r="T161" s="22" t="s">
        <v>105</v>
      </c>
      <c r="U161" s="31"/>
      <c r="V161" s="24"/>
    </row>
    <row r="162" ht="14.25" spans="1:22">
      <c r="A162" s="21" t="s">
        <v>701</v>
      </c>
      <c r="B162" s="21" t="s">
        <v>702</v>
      </c>
      <c r="C162" s="22" t="s">
        <v>705</v>
      </c>
      <c r="D162" s="23" t="s">
        <v>706</v>
      </c>
      <c r="E162" s="21" t="s">
        <v>103</v>
      </c>
      <c r="F162" s="24"/>
      <c r="G162" s="22"/>
      <c r="H162" s="22" t="s">
        <v>363</v>
      </c>
      <c r="I162" s="22" t="s">
        <v>204</v>
      </c>
      <c r="J162" s="22"/>
      <c r="K162" s="24" t="s">
        <v>99</v>
      </c>
      <c r="L162" s="27">
        <v>1572</v>
      </c>
      <c r="M162" s="28">
        <v>0.09</v>
      </c>
      <c r="N162" s="29" t="s">
        <v>645</v>
      </c>
      <c r="O162" s="30">
        <v>1572</v>
      </c>
      <c r="P162" s="29" t="s">
        <v>645</v>
      </c>
      <c r="Q162" s="22" t="s">
        <v>103</v>
      </c>
      <c r="R162" s="22" t="s">
        <v>103</v>
      </c>
      <c r="S162" s="22" t="s">
        <v>104</v>
      </c>
      <c r="T162" s="22" t="s">
        <v>105</v>
      </c>
      <c r="U162" s="31"/>
      <c r="V162" s="24"/>
    </row>
    <row r="163" ht="14.25" spans="1:22">
      <c r="A163" s="21" t="s">
        <v>701</v>
      </c>
      <c r="B163" s="21" t="s">
        <v>702</v>
      </c>
      <c r="C163" s="22" t="s">
        <v>707</v>
      </c>
      <c r="D163" s="23" t="s">
        <v>708</v>
      </c>
      <c r="E163" s="21" t="s">
        <v>103</v>
      </c>
      <c r="F163" s="24"/>
      <c r="G163" s="22"/>
      <c r="H163" s="22" t="s">
        <v>363</v>
      </c>
      <c r="I163" s="22" t="s">
        <v>204</v>
      </c>
      <c r="J163" s="22"/>
      <c r="K163" s="24" t="s">
        <v>99</v>
      </c>
      <c r="L163" s="27">
        <v>1572</v>
      </c>
      <c r="M163" s="28">
        <v>0.09</v>
      </c>
      <c r="N163" s="29" t="s">
        <v>645</v>
      </c>
      <c r="O163" s="30">
        <v>1572</v>
      </c>
      <c r="P163" s="29" t="s">
        <v>645</v>
      </c>
      <c r="Q163" s="22" t="s">
        <v>103</v>
      </c>
      <c r="R163" s="22" t="s">
        <v>103</v>
      </c>
      <c r="S163" s="22" t="s">
        <v>104</v>
      </c>
      <c r="T163" s="22" t="s">
        <v>105</v>
      </c>
      <c r="U163" s="31"/>
      <c r="V163" s="24"/>
    </row>
    <row r="164" ht="14.25" spans="1:22">
      <c r="A164" s="21" t="s">
        <v>701</v>
      </c>
      <c r="B164" s="21" t="s">
        <v>702</v>
      </c>
      <c r="C164" s="22" t="s">
        <v>709</v>
      </c>
      <c r="D164" s="23" t="s">
        <v>710</v>
      </c>
      <c r="E164" s="21" t="s">
        <v>103</v>
      </c>
      <c r="F164" s="24"/>
      <c r="G164" s="22"/>
      <c r="H164" s="22" t="s">
        <v>363</v>
      </c>
      <c r="I164" s="22" t="s">
        <v>204</v>
      </c>
      <c r="J164" s="22"/>
      <c r="K164" s="24" t="s">
        <v>99</v>
      </c>
      <c r="L164" s="27">
        <v>2891</v>
      </c>
      <c r="M164" s="28">
        <v>0.06</v>
      </c>
      <c r="N164" s="29" t="s">
        <v>711</v>
      </c>
      <c r="O164" s="30">
        <v>2891</v>
      </c>
      <c r="P164" s="29" t="s">
        <v>711</v>
      </c>
      <c r="Q164" s="22" t="s">
        <v>103</v>
      </c>
      <c r="R164" s="22" t="s">
        <v>103</v>
      </c>
      <c r="S164" s="22" t="s">
        <v>104</v>
      </c>
      <c r="T164" s="22" t="s">
        <v>105</v>
      </c>
      <c r="U164" s="31"/>
      <c r="V164" s="24" t="s">
        <v>712</v>
      </c>
    </row>
    <row r="165" ht="14.25" spans="1:22">
      <c r="A165" s="21" t="s">
        <v>701</v>
      </c>
      <c r="B165" s="21" t="s">
        <v>702</v>
      </c>
      <c r="C165" s="22" t="s">
        <v>713</v>
      </c>
      <c r="D165" s="23" t="s">
        <v>714</v>
      </c>
      <c r="E165" s="21" t="s">
        <v>103</v>
      </c>
      <c r="F165" s="24"/>
      <c r="G165" s="22"/>
      <c r="H165" s="22" t="s">
        <v>363</v>
      </c>
      <c r="I165" s="22" t="s">
        <v>204</v>
      </c>
      <c r="J165" s="22"/>
      <c r="K165" s="24" t="s">
        <v>99</v>
      </c>
      <c r="L165" s="27">
        <v>1572</v>
      </c>
      <c r="M165" s="28">
        <v>0.09</v>
      </c>
      <c r="N165" s="29" t="s">
        <v>645</v>
      </c>
      <c r="O165" s="30">
        <v>1572</v>
      </c>
      <c r="P165" s="29" t="s">
        <v>645</v>
      </c>
      <c r="Q165" s="22" t="s">
        <v>103</v>
      </c>
      <c r="R165" s="22" t="s">
        <v>103</v>
      </c>
      <c r="S165" s="22" t="s">
        <v>104</v>
      </c>
      <c r="T165" s="22" t="s">
        <v>105</v>
      </c>
      <c r="U165" s="31"/>
      <c r="V165" s="24"/>
    </row>
    <row r="166" ht="14.25" spans="1:22">
      <c r="A166" s="21" t="s">
        <v>701</v>
      </c>
      <c r="B166" s="21" t="s">
        <v>702</v>
      </c>
      <c r="C166" s="22" t="s">
        <v>715</v>
      </c>
      <c r="D166" s="23" t="s">
        <v>716</v>
      </c>
      <c r="E166" s="21" t="s">
        <v>103</v>
      </c>
      <c r="F166" s="24"/>
      <c r="G166" s="22"/>
      <c r="H166" s="22" t="s">
        <v>363</v>
      </c>
      <c r="I166" s="22" t="s">
        <v>204</v>
      </c>
      <c r="J166" s="22"/>
      <c r="K166" s="24" t="s">
        <v>99</v>
      </c>
      <c r="L166" s="27">
        <v>2557</v>
      </c>
      <c r="M166" s="28">
        <v>0.06</v>
      </c>
      <c r="N166" s="29" t="s">
        <v>717</v>
      </c>
      <c r="O166" s="30">
        <v>2557</v>
      </c>
      <c r="P166" s="29" t="s">
        <v>717</v>
      </c>
      <c r="Q166" s="22" t="s">
        <v>103</v>
      </c>
      <c r="R166" s="22" t="s">
        <v>103</v>
      </c>
      <c r="S166" s="22" t="s">
        <v>104</v>
      </c>
      <c r="T166" s="22" t="s">
        <v>105</v>
      </c>
      <c r="U166" s="31"/>
      <c r="V166" s="24" t="s">
        <v>718</v>
      </c>
    </row>
    <row r="167" ht="14.25" spans="1:22">
      <c r="A167" s="21" t="s">
        <v>199</v>
      </c>
      <c r="B167" s="21" t="s">
        <v>200</v>
      </c>
      <c r="C167" s="22" t="s">
        <v>719</v>
      </c>
      <c r="D167" s="23" t="s">
        <v>720</v>
      </c>
      <c r="E167" s="21" t="s">
        <v>103</v>
      </c>
      <c r="F167" s="24" t="s">
        <v>316</v>
      </c>
      <c r="G167" s="22" t="s">
        <v>317</v>
      </c>
      <c r="H167" s="22" t="s">
        <v>203</v>
      </c>
      <c r="I167" s="22" t="s">
        <v>204</v>
      </c>
      <c r="J167" s="22" t="s">
        <v>355</v>
      </c>
      <c r="K167" s="24" t="s">
        <v>356</v>
      </c>
      <c r="L167" s="27">
        <v>1991</v>
      </c>
      <c r="M167" s="28">
        <v>0.06</v>
      </c>
      <c r="N167" s="29" t="s">
        <v>721</v>
      </c>
      <c r="O167" s="30">
        <v>1991</v>
      </c>
      <c r="P167" s="29" t="s">
        <v>721</v>
      </c>
      <c r="Q167" s="22" t="s">
        <v>103</v>
      </c>
      <c r="R167" s="22" t="s">
        <v>103</v>
      </c>
      <c r="S167" s="22" t="s">
        <v>152</v>
      </c>
      <c r="T167" s="22" t="s">
        <v>105</v>
      </c>
      <c r="U167" s="31"/>
      <c r="V167" s="24" t="s">
        <v>722</v>
      </c>
    </row>
    <row r="168" ht="14.25" spans="1:22">
      <c r="A168" s="21" t="s">
        <v>90</v>
      </c>
      <c r="B168" s="21" t="s">
        <v>91</v>
      </c>
      <c r="C168" s="22" t="s">
        <v>723</v>
      </c>
      <c r="D168" s="23" t="s">
        <v>724</v>
      </c>
      <c r="E168" s="21" t="s">
        <v>94</v>
      </c>
      <c r="F168" s="24"/>
      <c r="G168" s="22"/>
      <c r="H168" s="22" t="s">
        <v>97</v>
      </c>
      <c r="I168" s="22" t="s">
        <v>98</v>
      </c>
      <c r="J168" s="22"/>
      <c r="K168" s="24" t="s">
        <v>128</v>
      </c>
      <c r="L168" s="27">
        <v>1959</v>
      </c>
      <c r="M168" s="28">
        <v>0.09</v>
      </c>
      <c r="N168" s="29" t="s">
        <v>648</v>
      </c>
      <c r="O168" s="30">
        <v>1959</v>
      </c>
      <c r="P168" s="29" t="s">
        <v>648</v>
      </c>
      <c r="Q168" s="22" t="s">
        <v>103</v>
      </c>
      <c r="R168" s="22" t="s">
        <v>103</v>
      </c>
      <c r="S168" s="22" t="s">
        <v>104</v>
      </c>
      <c r="T168" s="22" t="s">
        <v>105</v>
      </c>
      <c r="U168" s="31"/>
      <c r="V168" s="24"/>
    </row>
    <row r="169" ht="14.25" spans="1:22">
      <c r="A169" s="21" t="s">
        <v>90</v>
      </c>
      <c r="B169" s="21" t="s">
        <v>91</v>
      </c>
      <c r="C169" s="22" t="s">
        <v>725</v>
      </c>
      <c r="D169" s="23" t="s">
        <v>726</v>
      </c>
      <c r="E169" s="21" t="s">
        <v>94</v>
      </c>
      <c r="F169" s="24"/>
      <c r="G169" s="22"/>
      <c r="H169" s="22" t="s">
        <v>97</v>
      </c>
      <c r="I169" s="22" t="s">
        <v>98</v>
      </c>
      <c r="J169" s="22"/>
      <c r="K169" s="24" t="s">
        <v>131</v>
      </c>
      <c r="L169" s="27">
        <v>1958</v>
      </c>
      <c r="M169" s="28">
        <v>0.09</v>
      </c>
      <c r="N169" s="29" t="s">
        <v>727</v>
      </c>
      <c r="O169" s="30">
        <v>1958</v>
      </c>
      <c r="P169" s="29" t="s">
        <v>727</v>
      </c>
      <c r="Q169" s="22" t="s">
        <v>103</v>
      </c>
      <c r="R169" s="22" t="s">
        <v>103</v>
      </c>
      <c r="S169" s="22" t="s">
        <v>104</v>
      </c>
      <c r="T169" s="22" t="s">
        <v>105</v>
      </c>
      <c r="U169" s="31"/>
      <c r="V169" s="24"/>
    </row>
    <row r="170" ht="14.25" spans="1:22">
      <c r="A170" s="21" t="s">
        <v>199</v>
      </c>
      <c r="B170" s="21" t="s">
        <v>200</v>
      </c>
      <c r="C170" s="22" t="s">
        <v>728</v>
      </c>
      <c r="D170" s="23" t="s">
        <v>729</v>
      </c>
      <c r="E170" s="21" t="s">
        <v>103</v>
      </c>
      <c r="F170" s="24" t="s">
        <v>149</v>
      </c>
      <c r="G170" s="22" t="s">
        <v>196</v>
      </c>
      <c r="H170" s="22" t="s">
        <v>203</v>
      </c>
      <c r="I170" s="22" t="s">
        <v>204</v>
      </c>
      <c r="J170" s="22"/>
      <c r="K170" s="24"/>
      <c r="L170" s="27">
        <v>1577</v>
      </c>
      <c r="M170" s="28">
        <v>0.06</v>
      </c>
      <c r="N170" s="29" t="s">
        <v>214</v>
      </c>
      <c r="O170" s="30">
        <v>1577</v>
      </c>
      <c r="P170" s="29" t="s">
        <v>214</v>
      </c>
      <c r="Q170" s="22" t="s">
        <v>103</v>
      </c>
      <c r="R170" s="22" t="s">
        <v>103</v>
      </c>
      <c r="S170" s="22" t="s">
        <v>152</v>
      </c>
      <c r="T170" s="22" t="s">
        <v>105</v>
      </c>
      <c r="U170" s="31"/>
      <c r="V170" s="24" t="s">
        <v>215</v>
      </c>
    </row>
    <row r="171" ht="14.25" spans="1:22">
      <c r="A171" s="21" t="s">
        <v>199</v>
      </c>
      <c r="B171" s="21" t="s">
        <v>200</v>
      </c>
      <c r="C171" s="22" t="s">
        <v>730</v>
      </c>
      <c r="D171" s="23" t="s">
        <v>731</v>
      </c>
      <c r="E171" s="21" t="s">
        <v>103</v>
      </c>
      <c r="F171" s="24" t="s">
        <v>149</v>
      </c>
      <c r="G171" s="22" t="s">
        <v>196</v>
      </c>
      <c r="H171" s="22" t="s">
        <v>203</v>
      </c>
      <c r="I171" s="22" t="s">
        <v>204</v>
      </c>
      <c r="J171" s="22"/>
      <c r="K171" s="24"/>
      <c r="L171" s="27">
        <v>1577</v>
      </c>
      <c r="M171" s="28">
        <v>0.06</v>
      </c>
      <c r="N171" s="29" t="s">
        <v>214</v>
      </c>
      <c r="O171" s="30">
        <v>1577</v>
      </c>
      <c r="P171" s="29" t="s">
        <v>214</v>
      </c>
      <c r="Q171" s="22" t="s">
        <v>103</v>
      </c>
      <c r="R171" s="22" t="s">
        <v>103</v>
      </c>
      <c r="S171" s="22" t="s">
        <v>152</v>
      </c>
      <c r="T171" s="22" t="s">
        <v>105</v>
      </c>
      <c r="U171" s="31"/>
      <c r="V171" s="24" t="s">
        <v>215</v>
      </c>
    </row>
    <row r="172" ht="14.25" spans="1:22">
      <c r="A172" s="21" t="s">
        <v>199</v>
      </c>
      <c r="B172" s="21" t="s">
        <v>200</v>
      </c>
      <c r="C172" s="22" t="s">
        <v>732</v>
      </c>
      <c r="D172" s="23" t="s">
        <v>733</v>
      </c>
      <c r="E172" s="21" t="s">
        <v>103</v>
      </c>
      <c r="F172" s="24" t="s">
        <v>149</v>
      </c>
      <c r="G172" s="22" t="s">
        <v>196</v>
      </c>
      <c r="H172" s="22" t="s">
        <v>203</v>
      </c>
      <c r="I172" s="22" t="s">
        <v>204</v>
      </c>
      <c r="J172" s="22"/>
      <c r="K172" s="24"/>
      <c r="L172" s="27">
        <v>2848</v>
      </c>
      <c r="M172" s="28">
        <v>0.06</v>
      </c>
      <c r="N172" s="29" t="s">
        <v>260</v>
      </c>
      <c r="O172" s="30">
        <v>2848</v>
      </c>
      <c r="P172" s="29" t="s">
        <v>260</v>
      </c>
      <c r="Q172" s="22" t="s">
        <v>103</v>
      </c>
      <c r="R172" s="22" t="s">
        <v>103</v>
      </c>
      <c r="S172" s="22" t="s">
        <v>152</v>
      </c>
      <c r="T172" s="22" t="s">
        <v>105</v>
      </c>
      <c r="U172" s="31"/>
      <c r="V172" s="24" t="s">
        <v>261</v>
      </c>
    </row>
    <row r="173" ht="14.25" spans="1:22">
      <c r="A173" s="21" t="s">
        <v>199</v>
      </c>
      <c r="B173" s="21" t="s">
        <v>200</v>
      </c>
      <c r="C173" s="22" t="s">
        <v>734</v>
      </c>
      <c r="D173" s="23" t="s">
        <v>735</v>
      </c>
      <c r="E173" s="21" t="s">
        <v>103</v>
      </c>
      <c r="F173" s="24" t="s">
        <v>149</v>
      </c>
      <c r="G173" s="22" t="s">
        <v>196</v>
      </c>
      <c r="H173" s="22" t="s">
        <v>203</v>
      </c>
      <c r="I173" s="22" t="s">
        <v>204</v>
      </c>
      <c r="J173" s="22"/>
      <c r="K173" s="24"/>
      <c r="L173" s="27">
        <v>2848</v>
      </c>
      <c r="M173" s="28">
        <v>0.06</v>
      </c>
      <c r="N173" s="29" t="s">
        <v>260</v>
      </c>
      <c r="O173" s="30">
        <v>2848</v>
      </c>
      <c r="P173" s="29" t="s">
        <v>260</v>
      </c>
      <c r="Q173" s="22" t="s">
        <v>103</v>
      </c>
      <c r="R173" s="22" t="s">
        <v>103</v>
      </c>
      <c r="S173" s="22" t="s">
        <v>152</v>
      </c>
      <c r="T173" s="22" t="s">
        <v>105</v>
      </c>
      <c r="U173" s="31"/>
      <c r="V173" s="24" t="s">
        <v>261</v>
      </c>
    </row>
    <row r="174" ht="14.25" spans="1:22">
      <c r="A174" s="21" t="s">
        <v>153</v>
      </c>
      <c r="B174" s="21" t="s">
        <v>154</v>
      </c>
      <c r="C174" s="22" t="s">
        <v>736</v>
      </c>
      <c r="D174" s="23" t="s">
        <v>737</v>
      </c>
      <c r="E174" s="21" t="s">
        <v>103</v>
      </c>
      <c r="F174" s="24" t="s">
        <v>149</v>
      </c>
      <c r="G174" s="22" t="s">
        <v>196</v>
      </c>
      <c r="H174" s="22" t="s">
        <v>157</v>
      </c>
      <c r="I174" s="22" t="s">
        <v>204</v>
      </c>
      <c r="J174" s="22"/>
      <c r="K174" s="24"/>
      <c r="L174" s="27">
        <v>2914</v>
      </c>
      <c r="M174" s="28">
        <v>0.06</v>
      </c>
      <c r="N174" s="29" t="s">
        <v>302</v>
      </c>
      <c r="O174" s="30">
        <v>2914</v>
      </c>
      <c r="P174" s="29" t="s">
        <v>302</v>
      </c>
      <c r="Q174" s="22" t="s">
        <v>103</v>
      </c>
      <c r="R174" s="22" t="s">
        <v>103</v>
      </c>
      <c r="S174" s="22" t="s">
        <v>152</v>
      </c>
      <c r="T174" s="22" t="s">
        <v>105</v>
      </c>
      <c r="U174" s="31"/>
      <c r="V174" s="24" t="s">
        <v>303</v>
      </c>
    </row>
    <row r="175" ht="14.25" spans="1:22">
      <c r="A175" s="21" t="s">
        <v>440</v>
      </c>
      <c r="B175" s="21" t="s">
        <v>441</v>
      </c>
      <c r="C175" s="22" t="s">
        <v>738</v>
      </c>
      <c r="D175" s="23" t="s">
        <v>739</v>
      </c>
      <c r="E175" s="21" t="s">
        <v>103</v>
      </c>
      <c r="F175" s="24" t="s">
        <v>149</v>
      </c>
      <c r="G175" s="22" t="s">
        <v>196</v>
      </c>
      <c r="H175" s="22" t="s">
        <v>444</v>
      </c>
      <c r="I175" s="22" t="s">
        <v>204</v>
      </c>
      <c r="J175" s="22"/>
      <c r="K175" s="24"/>
      <c r="L175" s="27">
        <v>2829</v>
      </c>
      <c r="M175" s="28">
        <v>0.06</v>
      </c>
      <c r="N175" s="29" t="s">
        <v>740</v>
      </c>
      <c r="O175" s="30">
        <v>2829</v>
      </c>
      <c r="P175" s="29" t="s">
        <v>740</v>
      </c>
      <c r="Q175" s="22" t="s">
        <v>103</v>
      </c>
      <c r="R175" s="22" t="s">
        <v>103</v>
      </c>
      <c r="S175" s="22" t="s">
        <v>152</v>
      </c>
      <c r="T175" s="22" t="s">
        <v>105</v>
      </c>
      <c r="U175" s="31"/>
      <c r="V175" s="24" t="s">
        <v>741</v>
      </c>
    </row>
    <row r="176" ht="14.25" spans="1:22">
      <c r="A176" s="21" t="s">
        <v>199</v>
      </c>
      <c r="B176" s="21" t="s">
        <v>200</v>
      </c>
      <c r="C176" s="22" t="s">
        <v>742</v>
      </c>
      <c r="D176" s="23" t="s">
        <v>743</v>
      </c>
      <c r="E176" s="21" t="s">
        <v>103</v>
      </c>
      <c r="F176" s="24" t="s">
        <v>149</v>
      </c>
      <c r="G176" s="22" t="s">
        <v>196</v>
      </c>
      <c r="H176" s="22" t="s">
        <v>203</v>
      </c>
      <c r="I176" s="22" t="s">
        <v>204</v>
      </c>
      <c r="J176" s="22"/>
      <c r="K176" s="24"/>
      <c r="L176" s="27">
        <v>1592</v>
      </c>
      <c r="M176" s="28">
        <v>0.06</v>
      </c>
      <c r="N176" s="29" t="s">
        <v>331</v>
      </c>
      <c r="O176" s="30">
        <v>1592</v>
      </c>
      <c r="P176" s="29" t="s">
        <v>331</v>
      </c>
      <c r="Q176" s="22" t="s">
        <v>103</v>
      </c>
      <c r="R176" s="22" t="s">
        <v>103</v>
      </c>
      <c r="S176" s="22" t="s">
        <v>152</v>
      </c>
      <c r="T176" s="22" t="s">
        <v>105</v>
      </c>
      <c r="U176" s="31"/>
      <c r="V176" s="24" t="s">
        <v>332</v>
      </c>
    </row>
    <row r="177" ht="14.25" spans="1:22">
      <c r="A177" s="21" t="s">
        <v>199</v>
      </c>
      <c r="B177" s="21" t="s">
        <v>200</v>
      </c>
      <c r="C177" s="22" t="s">
        <v>744</v>
      </c>
      <c r="D177" s="23" t="s">
        <v>745</v>
      </c>
      <c r="E177" s="21" t="s">
        <v>103</v>
      </c>
      <c r="F177" s="24" t="s">
        <v>149</v>
      </c>
      <c r="G177" s="22" t="s">
        <v>196</v>
      </c>
      <c r="H177" s="22" t="s">
        <v>203</v>
      </c>
      <c r="I177" s="22" t="s">
        <v>204</v>
      </c>
      <c r="J177" s="22"/>
      <c r="K177" s="24"/>
      <c r="L177" s="27">
        <v>1580</v>
      </c>
      <c r="M177" s="28">
        <v>0.06</v>
      </c>
      <c r="N177" s="29" t="s">
        <v>232</v>
      </c>
      <c r="O177" s="30">
        <v>1580</v>
      </c>
      <c r="P177" s="29" t="s">
        <v>232</v>
      </c>
      <c r="Q177" s="22" t="s">
        <v>103</v>
      </c>
      <c r="R177" s="22" t="s">
        <v>103</v>
      </c>
      <c r="S177" s="22" t="s">
        <v>152</v>
      </c>
      <c r="T177" s="22" t="s">
        <v>105</v>
      </c>
      <c r="U177" s="31"/>
      <c r="V177" s="24" t="s">
        <v>233</v>
      </c>
    </row>
    <row r="178" ht="14.25" spans="1:22">
      <c r="A178" s="21" t="s">
        <v>199</v>
      </c>
      <c r="B178" s="21" t="s">
        <v>200</v>
      </c>
      <c r="C178" s="22" t="s">
        <v>746</v>
      </c>
      <c r="D178" s="23" t="s">
        <v>747</v>
      </c>
      <c r="E178" s="21" t="s">
        <v>103</v>
      </c>
      <c r="F178" s="24" t="s">
        <v>149</v>
      </c>
      <c r="G178" s="22" t="s">
        <v>196</v>
      </c>
      <c r="H178" s="22" t="s">
        <v>203</v>
      </c>
      <c r="I178" s="22" t="s">
        <v>204</v>
      </c>
      <c r="J178" s="22"/>
      <c r="K178" s="24"/>
      <c r="L178" s="27">
        <v>1578</v>
      </c>
      <c r="M178" s="28">
        <v>0.06</v>
      </c>
      <c r="N178" s="29" t="s">
        <v>292</v>
      </c>
      <c r="O178" s="30">
        <v>1578</v>
      </c>
      <c r="P178" s="29" t="s">
        <v>292</v>
      </c>
      <c r="Q178" s="22" t="s">
        <v>103</v>
      </c>
      <c r="R178" s="22" t="s">
        <v>103</v>
      </c>
      <c r="S178" s="22" t="s">
        <v>152</v>
      </c>
      <c r="T178" s="22" t="s">
        <v>105</v>
      </c>
      <c r="U178" s="31"/>
      <c r="V178" s="24" t="s">
        <v>293</v>
      </c>
    </row>
    <row r="179" ht="14.25" spans="1:22">
      <c r="A179" s="21"/>
      <c r="B179" s="21" t="s">
        <v>748</v>
      </c>
      <c r="C179" s="22" t="s">
        <v>749</v>
      </c>
      <c r="D179" s="23" t="s">
        <v>750</v>
      </c>
      <c r="E179" s="21" t="s">
        <v>94</v>
      </c>
      <c r="F179" s="24" t="s">
        <v>149</v>
      </c>
      <c r="G179" s="22" t="s">
        <v>196</v>
      </c>
      <c r="H179" s="22" t="s">
        <v>748</v>
      </c>
      <c r="I179" s="22"/>
      <c r="J179" s="22"/>
      <c r="K179" s="24"/>
      <c r="L179" s="27">
        <v>1569</v>
      </c>
      <c r="M179" s="28">
        <v>0.09</v>
      </c>
      <c r="N179" s="29" t="s">
        <v>751</v>
      </c>
      <c r="O179" s="30">
        <v>1569</v>
      </c>
      <c r="P179" s="29" t="s">
        <v>751</v>
      </c>
      <c r="Q179" s="22" t="s">
        <v>103</v>
      </c>
      <c r="R179" s="22" t="s">
        <v>103</v>
      </c>
      <c r="S179" s="22" t="s">
        <v>152</v>
      </c>
      <c r="T179" s="22" t="s">
        <v>105</v>
      </c>
      <c r="U179" s="31"/>
      <c r="V179" s="24"/>
    </row>
    <row r="180" ht="14.25" spans="1:22">
      <c r="A180" s="21"/>
      <c r="B180" s="21" t="s">
        <v>748</v>
      </c>
      <c r="C180" s="22" t="s">
        <v>752</v>
      </c>
      <c r="D180" s="23" t="s">
        <v>753</v>
      </c>
      <c r="E180" s="21" t="s">
        <v>103</v>
      </c>
      <c r="F180" s="24" t="s">
        <v>149</v>
      </c>
      <c r="G180" s="22" t="s">
        <v>196</v>
      </c>
      <c r="H180" s="22" t="s">
        <v>748</v>
      </c>
      <c r="I180" s="22"/>
      <c r="J180" s="22"/>
      <c r="K180" s="24"/>
      <c r="L180" s="27">
        <v>1818</v>
      </c>
      <c r="M180" s="28">
        <v>0.06</v>
      </c>
      <c r="N180" s="29" t="s">
        <v>754</v>
      </c>
      <c r="O180" s="30">
        <v>1818</v>
      </c>
      <c r="P180" s="29" t="s">
        <v>754</v>
      </c>
      <c r="Q180" s="22" t="s">
        <v>103</v>
      </c>
      <c r="R180" s="22" t="s">
        <v>103</v>
      </c>
      <c r="S180" s="22" t="s">
        <v>152</v>
      </c>
      <c r="T180" s="22" t="s">
        <v>105</v>
      </c>
      <c r="U180" s="31"/>
      <c r="V180" s="24"/>
    </row>
    <row r="181" ht="14.25" spans="1:22">
      <c r="A181" s="21" t="s">
        <v>199</v>
      </c>
      <c r="B181" s="21" t="s">
        <v>200</v>
      </c>
      <c r="C181" s="22" t="s">
        <v>755</v>
      </c>
      <c r="D181" s="23" t="s">
        <v>756</v>
      </c>
      <c r="E181" s="21" t="s">
        <v>103</v>
      </c>
      <c r="F181" s="24" t="s">
        <v>149</v>
      </c>
      <c r="G181" s="22" t="s">
        <v>196</v>
      </c>
      <c r="H181" s="22" t="s">
        <v>203</v>
      </c>
      <c r="I181" s="22" t="s">
        <v>204</v>
      </c>
      <c r="J181" s="22"/>
      <c r="K181" s="24"/>
      <c r="L181" s="27">
        <v>1578</v>
      </c>
      <c r="M181" s="28">
        <v>0.06</v>
      </c>
      <c r="N181" s="29" t="s">
        <v>292</v>
      </c>
      <c r="O181" s="30">
        <v>1578</v>
      </c>
      <c r="P181" s="29" t="s">
        <v>292</v>
      </c>
      <c r="Q181" s="22" t="s">
        <v>103</v>
      </c>
      <c r="R181" s="22" t="s">
        <v>103</v>
      </c>
      <c r="S181" s="22" t="s">
        <v>152</v>
      </c>
      <c r="T181" s="22" t="s">
        <v>105</v>
      </c>
      <c r="U181" s="31"/>
      <c r="V181" s="24" t="s">
        <v>293</v>
      </c>
    </row>
    <row r="182" ht="14.25" spans="1:22">
      <c r="A182" s="21" t="s">
        <v>471</v>
      </c>
      <c r="B182" s="21" t="s">
        <v>472</v>
      </c>
      <c r="C182" s="22" t="s">
        <v>757</v>
      </c>
      <c r="D182" s="23" t="s">
        <v>758</v>
      </c>
      <c r="E182" s="21" t="s">
        <v>103</v>
      </c>
      <c r="F182" s="24"/>
      <c r="G182" s="22"/>
      <c r="H182" s="22" t="s">
        <v>313</v>
      </c>
      <c r="I182" s="22" t="s">
        <v>204</v>
      </c>
      <c r="J182" s="22"/>
      <c r="K182" s="24"/>
      <c r="L182" s="27">
        <v>2836</v>
      </c>
      <c r="M182" s="28">
        <v>0.06</v>
      </c>
      <c r="N182" s="29" t="s">
        <v>759</v>
      </c>
      <c r="O182" s="30">
        <v>2836</v>
      </c>
      <c r="P182" s="29" t="s">
        <v>759</v>
      </c>
      <c r="Q182" s="22" t="s">
        <v>103</v>
      </c>
      <c r="R182" s="22" t="s">
        <v>103</v>
      </c>
      <c r="S182" s="22" t="s">
        <v>152</v>
      </c>
      <c r="T182" s="22" t="s">
        <v>105</v>
      </c>
      <c r="U182" s="31"/>
      <c r="V182" s="24" t="s">
        <v>760</v>
      </c>
    </row>
    <row r="183" ht="14.25" spans="1:22">
      <c r="A183" s="21" t="s">
        <v>440</v>
      </c>
      <c r="B183" s="21" t="s">
        <v>441</v>
      </c>
      <c r="C183" s="22" t="s">
        <v>761</v>
      </c>
      <c r="D183" s="23" t="s">
        <v>762</v>
      </c>
      <c r="E183" s="21" t="s">
        <v>103</v>
      </c>
      <c r="F183" s="24"/>
      <c r="G183" s="22"/>
      <c r="H183" s="22" t="s">
        <v>444</v>
      </c>
      <c r="I183" s="22" t="s">
        <v>204</v>
      </c>
      <c r="J183" s="22"/>
      <c r="K183" s="24"/>
      <c r="L183" s="27">
        <v>2777</v>
      </c>
      <c r="M183" s="28">
        <v>0.06</v>
      </c>
      <c r="N183" s="29" t="s">
        <v>445</v>
      </c>
      <c r="O183" s="30">
        <v>2777</v>
      </c>
      <c r="P183" s="29" t="s">
        <v>445</v>
      </c>
      <c r="Q183" s="22" t="s">
        <v>103</v>
      </c>
      <c r="R183" s="22" t="s">
        <v>103</v>
      </c>
      <c r="S183" s="22" t="s">
        <v>152</v>
      </c>
      <c r="T183" s="22" t="s">
        <v>105</v>
      </c>
      <c r="U183" s="31"/>
      <c r="V183" s="24" t="s">
        <v>446</v>
      </c>
    </row>
    <row r="184" ht="14.25" spans="1:22">
      <c r="A184" s="21" t="s">
        <v>440</v>
      </c>
      <c r="B184" s="21" t="s">
        <v>441</v>
      </c>
      <c r="C184" s="22" t="s">
        <v>763</v>
      </c>
      <c r="D184" s="23" t="s">
        <v>764</v>
      </c>
      <c r="E184" s="21" t="s">
        <v>103</v>
      </c>
      <c r="F184" s="24"/>
      <c r="G184" s="22"/>
      <c r="H184" s="22" t="s">
        <v>444</v>
      </c>
      <c r="I184" s="22" t="s">
        <v>204</v>
      </c>
      <c r="J184" s="22"/>
      <c r="K184" s="24"/>
      <c r="L184" s="27">
        <v>2777</v>
      </c>
      <c r="M184" s="28">
        <v>0.06</v>
      </c>
      <c r="N184" s="29" t="s">
        <v>445</v>
      </c>
      <c r="O184" s="30">
        <v>2777</v>
      </c>
      <c r="P184" s="29" t="s">
        <v>445</v>
      </c>
      <c r="Q184" s="22" t="s">
        <v>103</v>
      </c>
      <c r="R184" s="22" t="s">
        <v>103</v>
      </c>
      <c r="S184" s="22" t="s">
        <v>152</v>
      </c>
      <c r="T184" s="22" t="s">
        <v>105</v>
      </c>
      <c r="U184" s="31"/>
      <c r="V184" s="24" t="s">
        <v>446</v>
      </c>
    </row>
    <row r="185" ht="14.25" spans="1:22">
      <c r="A185" s="21" t="s">
        <v>440</v>
      </c>
      <c r="B185" s="21" t="s">
        <v>441</v>
      </c>
      <c r="C185" s="22" t="s">
        <v>765</v>
      </c>
      <c r="D185" s="23" t="s">
        <v>766</v>
      </c>
      <c r="E185" s="21" t="s">
        <v>103</v>
      </c>
      <c r="F185" s="24"/>
      <c r="G185" s="22"/>
      <c r="H185" s="22" t="s">
        <v>444</v>
      </c>
      <c r="I185" s="22" t="s">
        <v>204</v>
      </c>
      <c r="J185" s="22"/>
      <c r="K185" s="24"/>
      <c r="L185" s="27">
        <v>2777</v>
      </c>
      <c r="M185" s="28">
        <v>0.06</v>
      </c>
      <c r="N185" s="29" t="s">
        <v>445</v>
      </c>
      <c r="O185" s="30">
        <v>2777</v>
      </c>
      <c r="P185" s="29" t="s">
        <v>445</v>
      </c>
      <c r="Q185" s="22" t="s">
        <v>103</v>
      </c>
      <c r="R185" s="22" t="s">
        <v>103</v>
      </c>
      <c r="S185" s="22" t="s">
        <v>152</v>
      </c>
      <c r="T185" s="22" t="s">
        <v>105</v>
      </c>
      <c r="U185" s="31"/>
      <c r="V185" s="24" t="s">
        <v>446</v>
      </c>
    </row>
    <row r="186" ht="14.25" spans="1:22">
      <c r="A186" s="21" t="s">
        <v>440</v>
      </c>
      <c r="B186" s="21" t="s">
        <v>441</v>
      </c>
      <c r="C186" s="22" t="s">
        <v>767</v>
      </c>
      <c r="D186" s="23" t="s">
        <v>768</v>
      </c>
      <c r="E186" s="21" t="s">
        <v>103</v>
      </c>
      <c r="F186" s="24"/>
      <c r="G186" s="22"/>
      <c r="H186" s="22" t="s">
        <v>444</v>
      </c>
      <c r="I186" s="22" t="s">
        <v>204</v>
      </c>
      <c r="J186" s="22"/>
      <c r="K186" s="24"/>
      <c r="L186" s="27">
        <v>2777</v>
      </c>
      <c r="M186" s="28">
        <v>0.06</v>
      </c>
      <c r="N186" s="29" t="s">
        <v>445</v>
      </c>
      <c r="O186" s="30">
        <v>2777</v>
      </c>
      <c r="P186" s="29" t="s">
        <v>445</v>
      </c>
      <c r="Q186" s="22" t="s">
        <v>103</v>
      </c>
      <c r="R186" s="22" t="s">
        <v>103</v>
      </c>
      <c r="S186" s="22" t="s">
        <v>152</v>
      </c>
      <c r="T186" s="22" t="s">
        <v>105</v>
      </c>
      <c r="U186" s="31"/>
      <c r="V186" s="24" t="s">
        <v>446</v>
      </c>
    </row>
    <row r="187" ht="14.25" spans="1:22">
      <c r="A187" s="21" t="s">
        <v>440</v>
      </c>
      <c r="B187" s="21" t="s">
        <v>441</v>
      </c>
      <c r="C187" s="22" t="s">
        <v>769</v>
      </c>
      <c r="D187" s="23" t="s">
        <v>770</v>
      </c>
      <c r="E187" s="21" t="s">
        <v>103</v>
      </c>
      <c r="F187" s="24"/>
      <c r="G187" s="22"/>
      <c r="H187" s="22" t="s">
        <v>444</v>
      </c>
      <c r="I187" s="22" t="s">
        <v>204</v>
      </c>
      <c r="J187" s="22"/>
      <c r="K187" s="24"/>
      <c r="L187" s="27">
        <v>2777</v>
      </c>
      <c r="M187" s="28">
        <v>0.06</v>
      </c>
      <c r="N187" s="29" t="s">
        <v>445</v>
      </c>
      <c r="O187" s="30">
        <v>2777</v>
      </c>
      <c r="P187" s="29" t="s">
        <v>445</v>
      </c>
      <c r="Q187" s="22" t="s">
        <v>103</v>
      </c>
      <c r="R187" s="22" t="s">
        <v>103</v>
      </c>
      <c r="S187" s="22" t="s">
        <v>152</v>
      </c>
      <c r="T187" s="22" t="s">
        <v>105</v>
      </c>
      <c r="U187" s="31"/>
      <c r="V187" s="24" t="s">
        <v>446</v>
      </c>
    </row>
    <row r="188" ht="14.25" spans="1:22">
      <c r="A188" s="21" t="s">
        <v>440</v>
      </c>
      <c r="B188" s="21" t="s">
        <v>441</v>
      </c>
      <c r="C188" s="22" t="s">
        <v>771</v>
      </c>
      <c r="D188" s="23" t="s">
        <v>772</v>
      </c>
      <c r="E188" s="21" t="s">
        <v>103</v>
      </c>
      <c r="F188" s="24"/>
      <c r="G188" s="22"/>
      <c r="H188" s="22" t="s">
        <v>444</v>
      </c>
      <c r="I188" s="22" t="s">
        <v>204</v>
      </c>
      <c r="J188" s="22"/>
      <c r="K188" s="24"/>
      <c r="L188" s="27">
        <v>2777</v>
      </c>
      <c r="M188" s="28">
        <v>0.06</v>
      </c>
      <c r="N188" s="29" t="s">
        <v>445</v>
      </c>
      <c r="O188" s="30">
        <v>2777</v>
      </c>
      <c r="P188" s="29" t="s">
        <v>445</v>
      </c>
      <c r="Q188" s="22" t="s">
        <v>103</v>
      </c>
      <c r="R188" s="22" t="s">
        <v>103</v>
      </c>
      <c r="S188" s="22" t="s">
        <v>152</v>
      </c>
      <c r="T188" s="22" t="s">
        <v>105</v>
      </c>
      <c r="U188" s="31"/>
      <c r="V188" s="24" t="s">
        <v>446</v>
      </c>
    </row>
    <row r="189" ht="14.25" spans="1:22">
      <c r="A189" s="21" t="s">
        <v>336</v>
      </c>
      <c r="B189" s="21" t="s">
        <v>337</v>
      </c>
      <c r="C189" s="22" t="s">
        <v>773</v>
      </c>
      <c r="D189" s="23" t="s">
        <v>774</v>
      </c>
      <c r="E189" s="21" t="s">
        <v>103</v>
      </c>
      <c r="F189" s="24"/>
      <c r="G189" s="22"/>
      <c r="H189" s="22" t="s">
        <v>444</v>
      </c>
      <c r="I189" s="22" t="s">
        <v>204</v>
      </c>
      <c r="J189" s="22"/>
      <c r="K189" s="24"/>
      <c r="L189" s="27">
        <v>2347</v>
      </c>
      <c r="M189" s="28">
        <v>0.06</v>
      </c>
      <c r="N189" s="29" t="s">
        <v>395</v>
      </c>
      <c r="O189" s="30">
        <v>2347</v>
      </c>
      <c r="P189" s="29" t="s">
        <v>395</v>
      </c>
      <c r="Q189" s="22" t="s">
        <v>103</v>
      </c>
      <c r="R189" s="22" t="s">
        <v>103</v>
      </c>
      <c r="S189" s="22" t="s">
        <v>152</v>
      </c>
      <c r="T189" s="22" t="s">
        <v>105</v>
      </c>
      <c r="U189" s="31"/>
      <c r="V189" s="24"/>
    </row>
    <row r="190" ht="14.25" spans="1:22">
      <c r="A190" s="21" t="s">
        <v>336</v>
      </c>
      <c r="B190" s="21" t="s">
        <v>337</v>
      </c>
      <c r="C190" s="22" t="s">
        <v>775</v>
      </c>
      <c r="D190" s="23" t="s">
        <v>776</v>
      </c>
      <c r="E190" s="21" t="s">
        <v>103</v>
      </c>
      <c r="F190" s="24"/>
      <c r="G190" s="22"/>
      <c r="H190" s="22" t="s">
        <v>444</v>
      </c>
      <c r="I190" s="22" t="s">
        <v>204</v>
      </c>
      <c r="J190" s="22"/>
      <c r="K190" s="24"/>
      <c r="L190" s="27">
        <v>2347</v>
      </c>
      <c r="M190" s="28">
        <v>0.06</v>
      </c>
      <c r="N190" s="29" t="s">
        <v>395</v>
      </c>
      <c r="O190" s="30">
        <v>2347</v>
      </c>
      <c r="P190" s="29" t="s">
        <v>395</v>
      </c>
      <c r="Q190" s="22" t="s">
        <v>103</v>
      </c>
      <c r="R190" s="22" t="s">
        <v>103</v>
      </c>
      <c r="S190" s="22" t="s">
        <v>152</v>
      </c>
      <c r="T190" s="22" t="s">
        <v>105</v>
      </c>
      <c r="U190" s="31"/>
      <c r="V190" s="24"/>
    </row>
    <row r="191" s="15" customFormat="1" ht="14.25" spans="1:22">
      <c r="A191" s="21" t="s">
        <v>336</v>
      </c>
      <c r="B191" s="21" t="s">
        <v>337</v>
      </c>
      <c r="C191" s="22" t="s">
        <v>777</v>
      </c>
      <c r="D191" s="23" t="s">
        <v>778</v>
      </c>
      <c r="E191" s="21" t="s">
        <v>103</v>
      </c>
      <c r="F191" s="24"/>
      <c r="G191" s="22"/>
      <c r="H191" s="22" t="s">
        <v>444</v>
      </c>
      <c r="I191" s="22" t="s">
        <v>204</v>
      </c>
      <c r="J191" s="22"/>
      <c r="K191" s="24"/>
      <c r="L191" s="27">
        <v>2902</v>
      </c>
      <c r="M191" s="28">
        <v>0.06</v>
      </c>
      <c r="N191" s="29" t="s">
        <v>779</v>
      </c>
      <c r="O191" s="30">
        <v>2902</v>
      </c>
      <c r="P191" s="29" t="s">
        <v>779</v>
      </c>
      <c r="Q191" s="22" t="s">
        <v>103</v>
      </c>
      <c r="R191" s="22" t="s">
        <v>103</v>
      </c>
      <c r="S191" s="22" t="s">
        <v>152</v>
      </c>
      <c r="T191" s="22" t="s">
        <v>105</v>
      </c>
      <c r="U191" s="31"/>
      <c r="V191" s="24" t="s">
        <v>780</v>
      </c>
    </row>
    <row r="192" ht="14.25" spans="1:22">
      <c r="A192" s="21" t="s">
        <v>471</v>
      </c>
      <c r="B192" s="21" t="s">
        <v>472</v>
      </c>
      <c r="C192" s="22" t="s">
        <v>781</v>
      </c>
      <c r="D192" s="23" t="s">
        <v>782</v>
      </c>
      <c r="E192" s="21" t="s">
        <v>103</v>
      </c>
      <c r="F192" s="24"/>
      <c r="G192" s="22"/>
      <c r="H192" s="22" t="s">
        <v>444</v>
      </c>
      <c r="I192" s="22" t="s">
        <v>204</v>
      </c>
      <c r="J192" s="22"/>
      <c r="K192" s="24"/>
      <c r="L192" s="27">
        <v>2914</v>
      </c>
      <c r="M192" s="28">
        <v>0.06</v>
      </c>
      <c r="N192" s="29" t="s">
        <v>302</v>
      </c>
      <c r="O192" s="30">
        <v>2914</v>
      </c>
      <c r="P192" s="29" t="s">
        <v>302</v>
      </c>
      <c r="Q192" s="22" t="s">
        <v>103</v>
      </c>
      <c r="R192" s="22" t="s">
        <v>103</v>
      </c>
      <c r="S192" s="22" t="s">
        <v>152</v>
      </c>
      <c r="T192" s="22" t="s">
        <v>105</v>
      </c>
      <c r="U192" s="31"/>
      <c r="V192" s="24" t="s">
        <v>303</v>
      </c>
    </row>
    <row r="193" ht="14.25" spans="1:22">
      <c r="A193" s="21" t="s">
        <v>336</v>
      </c>
      <c r="B193" s="21" t="s">
        <v>337</v>
      </c>
      <c r="C193" s="22" t="s">
        <v>783</v>
      </c>
      <c r="D193" s="23" t="s">
        <v>784</v>
      </c>
      <c r="E193" s="21" t="s">
        <v>103</v>
      </c>
      <c r="F193" s="24" t="s">
        <v>182</v>
      </c>
      <c r="G193" s="22" t="s">
        <v>182</v>
      </c>
      <c r="H193" s="22" t="s">
        <v>363</v>
      </c>
      <c r="I193" s="22" t="s">
        <v>204</v>
      </c>
      <c r="J193" s="22"/>
      <c r="K193" s="24"/>
      <c r="L193" s="27">
        <v>2340</v>
      </c>
      <c r="M193" s="28">
        <v>0.06</v>
      </c>
      <c r="N193" s="29" t="s">
        <v>364</v>
      </c>
      <c r="O193" s="30">
        <v>2340</v>
      </c>
      <c r="P193" s="29" t="s">
        <v>364</v>
      </c>
      <c r="Q193" s="22" t="s">
        <v>103</v>
      </c>
      <c r="R193" s="22" t="s">
        <v>103</v>
      </c>
      <c r="S193" s="22" t="s">
        <v>152</v>
      </c>
      <c r="T193" s="22" t="s">
        <v>105</v>
      </c>
      <c r="U193" s="31"/>
      <c r="V193" s="24"/>
    </row>
    <row r="194" ht="14.25" spans="1:22">
      <c r="A194" s="21" t="s">
        <v>336</v>
      </c>
      <c r="B194" s="21" t="s">
        <v>337</v>
      </c>
      <c r="C194" s="22" t="s">
        <v>785</v>
      </c>
      <c r="D194" s="23" t="s">
        <v>786</v>
      </c>
      <c r="E194" s="21" t="s">
        <v>103</v>
      </c>
      <c r="F194" s="24" t="s">
        <v>182</v>
      </c>
      <c r="G194" s="22" t="s">
        <v>182</v>
      </c>
      <c r="H194" s="22" t="s">
        <v>363</v>
      </c>
      <c r="I194" s="22" t="s">
        <v>204</v>
      </c>
      <c r="J194" s="22"/>
      <c r="K194" s="24"/>
      <c r="L194" s="27">
        <v>2912</v>
      </c>
      <c r="M194" s="28">
        <v>0.06</v>
      </c>
      <c r="N194" s="29" t="s">
        <v>341</v>
      </c>
      <c r="O194" s="27">
        <v>2912</v>
      </c>
      <c r="P194" s="29" t="s">
        <v>341</v>
      </c>
      <c r="Q194" s="22" t="s">
        <v>103</v>
      </c>
      <c r="R194" s="22" t="s">
        <v>103</v>
      </c>
      <c r="S194" s="22" t="s">
        <v>152</v>
      </c>
      <c r="T194" s="22" t="s">
        <v>105</v>
      </c>
      <c r="U194" s="31"/>
      <c r="V194" s="32" t="s">
        <v>342</v>
      </c>
    </row>
    <row r="195" ht="14.25" spans="1:22">
      <c r="A195" s="21" t="s">
        <v>199</v>
      </c>
      <c r="B195" s="21" t="s">
        <v>200</v>
      </c>
      <c r="C195" s="22" t="s">
        <v>787</v>
      </c>
      <c r="D195" s="23" t="s">
        <v>788</v>
      </c>
      <c r="E195" s="21" t="s">
        <v>103</v>
      </c>
      <c r="F195" s="24"/>
      <c r="G195" s="22"/>
      <c r="H195" s="22" t="s">
        <v>203</v>
      </c>
      <c r="I195" s="22" t="s">
        <v>204</v>
      </c>
      <c r="J195" s="22"/>
      <c r="K195" s="24"/>
      <c r="L195" s="27">
        <v>1582</v>
      </c>
      <c r="M195" s="28">
        <v>0.06</v>
      </c>
      <c r="N195" s="29" t="s">
        <v>789</v>
      </c>
      <c r="O195" s="30">
        <v>1582</v>
      </c>
      <c r="P195" s="29" t="s">
        <v>789</v>
      </c>
      <c r="Q195" s="22" t="s">
        <v>94</v>
      </c>
      <c r="R195" s="22" t="s">
        <v>103</v>
      </c>
      <c r="S195" s="22" t="s">
        <v>152</v>
      </c>
      <c r="T195" s="22" t="s">
        <v>105</v>
      </c>
      <c r="U195" s="31"/>
      <c r="V195" s="24" t="s">
        <v>790</v>
      </c>
    </row>
    <row r="196" ht="14.25" spans="1:22">
      <c r="A196" s="21" t="s">
        <v>199</v>
      </c>
      <c r="B196" s="21" t="s">
        <v>200</v>
      </c>
      <c r="C196" s="22" t="s">
        <v>791</v>
      </c>
      <c r="D196" s="23" t="s">
        <v>792</v>
      </c>
      <c r="E196" s="21" t="s">
        <v>103</v>
      </c>
      <c r="F196" s="24"/>
      <c r="G196" s="22"/>
      <c r="H196" s="22" t="s">
        <v>203</v>
      </c>
      <c r="I196" s="22" t="s">
        <v>204</v>
      </c>
      <c r="J196" s="22"/>
      <c r="K196" s="24"/>
      <c r="L196" s="27">
        <v>1582</v>
      </c>
      <c r="M196" s="28">
        <v>0.06</v>
      </c>
      <c r="N196" s="29" t="s">
        <v>789</v>
      </c>
      <c r="O196" s="30">
        <v>1582</v>
      </c>
      <c r="P196" s="29" t="s">
        <v>789</v>
      </c>
      <c r="Q196" s="22" t="s">
        <v>94</v>
      </c>
      <c r="R196" s="22" t="s">
        <v>103</v>
      </c>
      <c r="S196" s="22" t="s">
        <v>152</v>
      </c>
      <c r="T196" s="22" t="s">
        <v>105</v>
      </c>
      <c r="U196" s="31"/>
      <c r="V196" s="24" t="s">
        <v>790</v>
      </c>
    </row>
    <row r="197" ht="14.25" spans="1:22">
      <c r="A197" s="21" t="s">
        <v>199</v>
      </c>
      <c r="B197" s="21" t="s">
        <v>200</v>
      </c>
      <c r="C197" s="22" t="s">
        <v>793</v>
      </c>
      <c r="D197" s="23" t="s">
        <v>794</v>
      </c>
      <c r="E197" s="21" t="s">
        <v>103</v>
      </c>
      <c r="F197" s="24"/>
      <c r="G197" s="22"/>
      <c r="H197" s="22" t="s">
        <v>203</v>
      </c>
      <c r="I197" s="22" t="s">
        <v>204</v>
      </c>
      <c r="J197" s="22"/>
      <c r="K197" s="24"/>
      <c r="L197" s="27">
        <v>1578</v>
      </c>
      <c r="M197" s="28">
        <v>0.06</v>
      </c>
      <c r="N197" s="29" t="s">
        <v>292</v>
      </c>
      <c r="O197" s="30">
        <v>1578</v>
      </c>
      <c r="P197" s="29" t="s">
        <v>292</v>
      </c>
      <c r="Q197" s="22" t="s">
        <v>94</v>
      </c>
      <c r="R197" s="22" t="s">
        <v>103</v>
      </c>
      <c r="S197" s="22" t="s">
        <v>152</v>
      </c>
      <c r="T197" s="22" t="s">
        <v>105</v>
      </c>
      <c r="U197" s="31"/>
      <c r="V197" s="24" t="s">
        <v>293</v>
      </c>
    </row>
    <row r="198" ht="14.25" spans="1:22">
      <c r="A198" s="21" t="s">
        <v>199</v>
      </c>
      <c r="B198" s="21" t="s">
        <v>200</v>
      </c>
      <c r="C198" s="22" t="s">
        <v>795</v>
      </c>
      <c r="D198" s="23" t="s">
        <v>796</v>
      </c>
      <c r="E198" s="21" t="s">
        <v>103</v>
      </c>
      <c r="F198" s="24"/>
      <c r="G198" s="22"/>
      <c r="H198" s="22" t="s">
        <v>203</v>
      </c>
      <c r="I198" s="22" t="s">
        <v>204</v>
      </c>
      <c r="J198" s="22"/>
      <c r="K198" s="24"/>
      <c r="L198" s="27">
        <v>1578</v>
      </c>
      <c r="M198" s="28">
        <v>0.06</v>
      </c>
      <c r="N198" s="29" t="s">
        <v>292</v>
      </c>
      <c r="O198" s="30">
        <v>1578</v>
      </c>
      <c r="P198" s="29" t="s">
        <v>292</v>
      </c>
      <c r="Q198" s="22" t="s">
        <v>94</v>
      </c>
      <c r="R198" s="22" t="s">
        <v>103</v>
      </c>
      <c r="S198" s="22" t="s">
        <v>152</v>
      </c>
      <c r="T198" s="22" t="s">
        <v>105</v>
      </c>
      <c r="U198" s="31"/>
      <c r="V198" s="24" t="s">
        <v>293</v>
      </c>
    </row>
    <row r="199" ht="14.25" spans="1:22">
      <c r="A199" s="21" t="s">
        <v>199</v>
      </c>
      <c r="B199" s="21" t="s">
        <v>200</v>
      </c>
      <c r="C199" s="22" t="s">
        <v>797</v>
      </c>
      <c r="D199" s="23" t="s">
        <v>798</v>
      </c>
      <c r="E199" s="21" t="s">
        <v>103</v>
      </c>
      <c r="F199" s="24"/>
      <c r="G199" s="22"/>
      <c r="H199" s="22" t="s">
        <v>203</v>
      </c>
      <c r="I199" s="22" t="s">
        <v>204</v>
      </c>
      <c r="J199" s="22"/>
      <c r="K199" s="24"/>
      <c r="L199" s="27">
        <v>1590</v>
      </c>
      <c r="M199" s="28">
        <v>0.06</v>
      </c>
      <c r="N199" s="29" t="s">
        <v>210</v>
      </c>
      <c r="O199" s="30">
        <v>1590</v>
      </c>
      <c r="P199" s="29" t="s">
        <v>210</v>
      </c>
      <c r="Q199" s="22" t="s">
        <v>94</v>
      </c>
      <c r="R199" s="22" t="s">
        <v>103</v>
      </c>
      <c r="S199" s="22" t="s">
        <v>152</v>
      </c>
      <c r="T199" s="22" t="s">
        <v>105</v>
      </c>
      <c r="U199" s="31"/>
      <c r="V199" s="24" t="s">
        <v>211</v>
      </c>
    </row>
    <row r="200" ht="14.25" spans="1:22">
      <c r="A200" s="21" t="s">
        <v>199</v>
      </c>
      <c r="B200" s="21" t="s">
        <v>200</v>
      </c>
      <c r="C200" s="22" t="s">
        <v>799</v>
      </c>
      <c r="D200" s="23" t="s">
        <v>800</v>
      </c>
      <c r="E200" s="21" t="s">
        <v>103</v>
      </c>
      <c r="F200" s="24"/>
      <c r="G200" s="22"/>
      <c r="H200" s="22" t="s">
        <v>203</v>
      </c>
      <c r="I200" s="22" t="s">
        <v>204</v>
      </c>
      <c r="J200" s="22"/>
      <c r="K200" s="24"/>
      <c r="L200" s="27">
        <v>1590</v>
      </c>
      <c r="M200" s="28">
        <v>0.06</v>
      </c>
      <c r="N200" s="29" t="s">
        <v>210</v>
      </c>
      <c r="O200" s="30">
        <v>1590</v>
      </c>
      <c r="P200" s="29" t="s">
        <v>210</v>
      </c>
      <c r="Q200" s="22" t="s">
        <v>94</v>
      </c>
      <c r="R200" s="22" t="s">
        <v>103</v>
      </c>
      <c r="S200" s="22" t="s">
        <v>152</v>
      </c>
      <c r="T200" s="22" t="s">
        <v>105</v>
      </c>
      <c r="U200" s="31"/>
      <c r="V200" s="24" t="s">
        <v>211</v>
      </c>
    </row>
    <row r="201" ht="14.25" spans="1:22">
      <c r="A201" s="21" t="s">
        <v>199</v>
      </c>
      <c r="B201" s="21" t="s">
        <v>200</v>
      </c>
      <c r="C201" s="22" t="s">
        <v>801</v>
      </c>
      <c r="D201" s="23" t="s">
        <v>802</v>
      </c>
      <c r="E201" s="21" t="s">
        <v>103</v>
      </c>
      <c r="F201" s="24"/>
      <c r="G201" s="22"/>
      <c r="H201" s="22" t="s">
        <v>203</v>
      </c>
      <c r="I201" s="22" t="s">
        <v>204</v>
      </c>
      <c r="J201" s="22"/>
      <c r="K201" s="24"/>
      <c r="L201" s="27">
        <v>1591</v>
      </c>
      <c r="M201" s="28">
        <v>0.06</v>
      </c>
      <c r="N201" s="29" t="s">
        <v>220</v>
      </c>
      <c r="O201" s="30">
        <v>1591</v>
      </c>
      <c r="P201" s="29" t="s">
        <v>220</v>
      </c>
      <c r="Q201" s="22" t="s">
        <v>94</v>
      </c>
      <c r="R201" s="22" t="s">
        <v>103</v>
      </c>
      <c r="S201" s="22" t="s">
        <v>152</v>
      </c>
      <c r="T201" s="22" t="s">
        <v>105</v>
      </c>
      <c r="U201" s="31"/>
      <c r="V201" s="24" t="s">
        <v>221</v>
      </c>
    </row>
    <row r="202" ht="14.25" spans="1:22">
      <c r="A202" s="21" t="s">
        <v>199</v>
      </c>
      <c r="B202" s="21" t="s">
        <v>200</v>
      </c>
      <c r="C202" s="22" t="s">
        <v>803</v>
      </c>
      <c r="D202" s="23" t="s">
        <v>804</v>
      </c>
      <c r="E202" s="21" t="s">
        <v>103</v>
      </c>
      <c r="F202" s="24"/>
      <c r="G202" s="22"/>
      <c r="H202" s="22" t="s">
        <v>203</v>
      </c>
      <c r="I202" s="22" t="s">
        <v>204</v>
      </c>
      <c r="J202" s="22"/>
      <c r="K202" s="24"/>
      <c r="L202" s="27">
        <v>1592</v>
      </c>
      <c r="M202" s="28">
        <v>0.06</v>
      </c>
      <c r="N202" s="29" t="s">
        <v>331</v>
      </c>
      <c r="O202" s="30">
        <v>1592</v>
      </c>
      <c r="P202" s="29" t="s">
        <v>331</v>
      </c>
      <c r="Q202" s="22" t="s">
        <v>94</v>
      </c>
      <c r="R202" s="22" t="s">
        <v>103</v>
      </c>
      <c r="S202" s="22" t="s">
        <v>152</v>
      </c>
      <c r="T202" s="22" t="s">
        <v>105</v>
      </c>
      <c r="U202" s="31"/>
      <c r="V202" s="24" t="s">
        <v>332</v>
      </c>
    </row>
    <row r="203" ht="14.25" spans="1:22">
      <c r="A203" s="21" t="s">
        <v>199</v>
      </c>
      <c r="B203" s="21" t="s">
        <v>200</v>
      </c>
      <c r="C203" s="22" t="s">
        <v>805</v>
      </c>
      <c r="D203" s="23" t="s">
        <v>806</v>
      </c>
      <c r="E203" s="21" t="s">
        <v>103</v>
      </c>
      <c r="F203" s="24"/>
      <c r="G203" s="22"/>
      <c r="H203" s="22" t="s">
        <v>203</v>
      </c>
      <c r="I203" s="22" t="s">
        <v>204</v>
      </c>
      <c r="J203" s="22"/>
      <c r="K203" s="24"/>
      <c r="L203" s="27">
        <v>1592</v>
      </c>
      <c r="M203" s="28">
        <v>0.06</v>
      </c>
      <c r="N203" s="29" t="s">
        <v>331</v>
      </c>
      <c r="O203" s="30">
        <v>1592</v>
      </c>
      <c r="P203" s="29" t="s">
        <v>331</v>
      </c>
      <c r="Q203" s="22" t="s">
        <v>94</v>
      </c>
      <c r="R203" s="22" t="s">
        <v>103</v>
      </c>
      <c r="S203" s="22" t="s">
        <v>152</v>
      </c>
      <c r="T203" s="22" t="s">
        <v>105</v>
      </c>
      <c r="U203" s="31"/>
      <c r="V203" s="24" t="s">
        <v>332</v>
      </c>
    </row>
    <row r="204" ht="14.25" spans="1:22">
      <c r="A204" s="21" t="s">
        <v>199</v>
      </c>
      <c r="B204" s="21" t="s">
        <v>200</v>
      </c>
      <c r="C204" s="22" t="s">
        <v>807</v>
      </c>
      <c r="D204" s="23" t="s">
        <v>808</v>
      </c>
      <c r="E204" s="21" t="s">
        <v>103</v>
      </c>
      <c r="F204" s="24"/>
      <c r="G204" s="22"/>
      <c r="H204" s="22" t="s">
        <v>203</v>
      </c>
      <c r="I204" s="22" t="s">
        <v>204</v>
      </c>
      <c r="J204" s="22"/>
      <c r="K204" s="24"/>
      <c r="L204" s="27">
        <v>1583</v>
      </c>
      <c r="M204" s="28">
        <v>0.06</v>
      </c>
      <c r="N204" s="29" t="s">
        <v>357</v>
      </c>
      <c r="O204" s="30">
        <v>1583</v>
      </c>
      <c r="P204" s="29" t="s">
        <v>357</v>
      </c>
      <c r="Q204" s="22" t="s">
        <v>94</v>
      </c>
      <c r="R204" s="22" t="s">
        <v>103</v>
      </c>
      <c r="S204" s="22" t="s">
        <v>152</v>
      </c>
      <c r="T204" s="22" t="s">
        <v>105</v>
      </c>
      <c r="U204" s="31"/>
      <c r="V204" s="24" t="s">
        <v>358</v>
      </c>
    </row>
    <row r="205" ht="14.25" spans="1:22">
      <c r="A205" s="21" t="s">
        <v>199</v>
      </c>
      <c r="B205" s="21" t="s">
        <v>200</v>
      </c>
      <c r="C205" s="22" t="s">
        <v>809</v>
      </c>
      <c r="D205" s="23" t="s">
        <v>810</v>
      </c>
      <c r="E205" s="21" t="s">
        <v>103</v>
      </c>
      <c r="F205" s="24"/>
      <c r="G205" s="22"/>
      <c r="H205" s="22" t="s">
        <v>203</v>
      </c>
      <c r="I205" s="22" t="s">
        <v>204</v>
      </c>
      <c r="J205" s="22"/>
      <c r="K205" s="24"/>
      <c r="L205" s="27">
        <v>1583</v>
      </c>
      <c r="M205" s="28">
        <v>0.06</v>
      </c>
      <c r="N205" s="29" t="s">
        <v>357</v>
      </c>
      <c r="O205" s="30">
        <v>1583</v>
      </c>
      <c r="P205" s="29" t="s">
        <v>357</v>
      </c>
      <c r="Q205" s="22" t="s">
        <v>94</v>
      </c>
      <c r="R205" s="22" t="s">
        <v>103</v>
      </c>
      <c r="S205" s="22" t="s">
        <v>152</v>
      </c>
      <c r="T205" s="22" t="s">
        <v>105</v>
      </c>
      <c r="U205" s="31"/>
      <c r="V205" s="24" t="s">
        <v>358</v>
      </c>
    </row>
    <row r="206" ht="14.25" spans="1:22">
      <c r="A206" s="21" t="s">
        <v>199</v>
      </c>
      <c r="B206" s="21" t="s">
        <v>200</v>
      </c>
      <c r="C206" s="22" t="s">
        <v>811</v>
      </c>
      <c r="D206" s="23" t="s">
        <v>812</v>
      </c>
      <c r="E206" s="21" t="s">
        <v>103</v>
      </c>
      <c r="F206" s="24"/>
      <c r="G206" s="22"/>
      <c r="H206" s="22" t="s">
        <v>203</v>
      </c>
      <c r="I206" s="22" t="s">
        <v>204</v>
      </c>
      <c r="J206" s="22"/>
      <c r="K206" s="24"/>
      <c r="L206" s="27">
        <v>1579</v>
      </c>
      <c r="M206" s="28">
        <v>0.06</v>
      </c>
      <c r="N206" s="29" t="s">
        <v>286</v>
      </c>
      <c r="O206" s="30">
        <v>1579</v>
      </c>
      <c r="P206" s="29" t="s">
        <v>286</v>
      </c>
      <c r="Q206" s="22" t="s">
        <v>94</v>
      </c>
      <c r="R206" s="22" t="s">
        <v>103</v>
      </c>
      <c r="S206" s="22" t="s">
        <v>152</v>
      </c>
      <c r="T206" s="22" t="s">
        <v>105</v>
      </c>
      <c r="U206" s="31"/>
      <c r="V206" s="24" t="s">
        <v>287</v>
      </c>
    </row>
    <row r="207" ht="14.25" spans="1:22">
      <c r="A207" s="21" t="s">
        <v>199</v>
      </c>
      <c r="B207" s="21" t="s">
        <v>200</v>
      </c>
      <c r="C207" s="22" t="s">
        <v>813</v>
      </c>
      <c r="D207" s="23" t="s">
        <v>814</v>
      </c>
      <c r="E207" s="21" t="s">
        <v>103</v>
      </c>
      <c r="F207" s="24"/>
      <c r="G207" s="22"/>
      <c r="H207" s="22" t="s">
        <v>203</v>
      </c>
      <c r="I207" s="22" t="s">
        <v>204</v>
      </c>
      <c r="J207" s="22"/>
      <c r="K207" s="24"/>
      <c r="L207" s="27">
        <v>1578</v>
      </c>
      <c r="M207" s="28">
        <v>0.06</v>
      </c>
      <c r="N207" s="29" t="s">
        <v>292</v>
      </c>
      <c r="O207" s="30">
        <v>1578</v>
      </c>
      <c r="P207" s="29" t="s">
        <v>292</v>
      </c>
      <c r="Q207" s="22" t="s">
        <v>94</v>
      </c>
      <c r="R207" s="22" t="s">
        <v>103</v>
      </c>
      <c r="S207" s="22" t="s">
        <v>152</v>
      </c>
      <c r="T207" s="22" t="s">
        <v>105</v>
      </c>
      <c r="U207" s="31"/>
      <c r="V207" s="24" t="s">
        <v>293</v>
      </c>
    </row>
    <row r="208" ht="14.25" spans="1:22">
      <c r="A208" s="21" t="s">
        <v>199</v>
      </c>
      <c r="B208" s="21" t="s">
        <v>200</v>
      </c>
      <c r="C208" s="22" t="s">
        <v>815</v>
      </c>
      <c r="D208" s="23" t="s">
        <v>816</v>
      </c>
      <c r="E208" s="21" t="s">
        <v>103</v>
      </c>
      <c r="F208" s="24"/>
      <c r="G208" s="22"/>
      <c r="H208" s="22" t="s">
        <v>203</v>
      </c>
      <c r="I208" s="22" t="s">
        <v>204</v>
      </c>
      <c r="J208" s="22"/>
      <c r="K208" s="24"/>
      <c r="L208" s="27">
        <v>1578</v>
      </c>
      <c r="M208" s="28">
        <v>0.06</v>
      </c>
      <c r="N208" s="29" t="s">
        <v>292</v>
      </c>
      <c r="O208" s="30">
        <v>1578</v>
      </c>
      <c r="P208" s="29" t="s">
        <v>292</v>
      </c>
      <c r="Q208" s="22" t="s">
        <v>94</v>
      </c>
      <c r="R208" s="22" t="s">
        <v>103</v>
      </c>
      <c r="S208" s="22" t="s">
        <v>152</v>
      </c>
      <c r="T208" s="22" t="s">
        <v>105</v>
      </c>
      <c r="U208" s="31"/>
      <c r="V208" s="24" t="s">
        <v>293</v>
      </c>
    </row>
    <row r="209" ht="14.25" spans="1:22">
      <c r="A209" s="21" t="s">
        <v>199</v>
      </c>
      <c r="B209" s="21" t="s">
        <v>200</v>
      </c>
      <c r="C209" s="22" t="s">
        <v>817</v>
      </c>
      <c r="D209" s="23" t="s">
        <v>818</v>
      </c>
      <c r="E209" s="21" t="s">
        <v>103</v>
      </c>
      <c r="F209" s="24"/>
      <c r="G209" s="22"/>
      <c r="H209" s="22" t="s">
        <v>203</v>
      </c>
      <c r="I209" s="22" t="s">
        <v>204</v>
      </c>
      <c r="J209" s="22"/>
      <c r="K209" s="24"/>
      <c r="L209" s="27">
        <v>1589</v>
      </c>
      <c r="M209" s="28">
        <v>0.06</v>
      </c>
      <c r="N209" s="29" t="s">
        <v>819</v>
      </c>
      <c r="O209" s="30">
        <v>1589</v>
      </c>
      <c r="P209" s="29" t="s">
        <v>819</v>
      </c>
      <c r="Q209" s="22" t="s">
        <v>94</v>
      </c>
      <c r="R209" s="22" t="s">
        <v>103</v>
      </c>
      <c r="S209" s="22" t="s">
        <v>152</v>
      </c>
      <c r="T209" s="22" t="s">
        <v>105</v>
      </c>
      <c r="U209" s="31"/>
      <c r="V209" s="24" t="s">
        <v>820</v>
      </c>
    </row>
    <row r="210" ht="14.25" spans="1:22">
      <c r="A210" s="21" t="s">
        <v>199</v>
      </c>
      <c r="B210" s="21" t="s">
        <v>200</v>
      </c>
      <c r="C210" s="22" t="s">
        <v>821</v>
      </c>
      <c r="D210" s="23" t="s">
        <v>822</v>
      </c>
      <c r="E210" s="21" t="s">
        <v>103</v>
      </c>
      <c r="F210" s="24"/>
      <c r="G210" s="22"/>
      <c r="H210" s="22" t="s">
        <v>203</v>
      </c>
      <c r="I210" s="22" t="s">
        <v>204</v>
      </c>
      <c r="J210" s="22"/>
      <c r="K210" s="24"/>
      <c r="L210" s="27">
        <v>1577</v>
      </c>
      <c r="M210" s="28">
        <v>0.06</v>
      </c>
      <c r="N210" s="29" t="s">
        <v>214</v>
      </c>
      <c r="O210" s="30">
        <v>1577</v>
      </c>
      <c r="P210" s="29" t="s">
        <v>214</v>
      </c>
      <c r="Q210" s="22" t="s">
        <v>94</v>
      </c>
      <c r="R210" s="22" t="s">
        <v>103</v>
      </c>
      <c r="S210" s="22" t="s">
        <v>152</v>
      </c>
      <c r="T210" s="22" t="s">
        <v>105</v>
      </c>
      <c r="U210" s="31"/>
      <c r="V210" s="24" t="s">
        <v>215</v>
      </c>
    </row>
    <row r="211" ht="14.25" spans="1:22">
      <c r="A211" s="21" t="s">
        <v>199</v>
      </c>
      <c r="B211" s="21" t="s">
        <v>200</v>
      </c>
      <c r="C211" s="22" t="s">
        <v>823</v>
      </c>
      <c r="D211" s="23" t="s">
        <v>824</v>
      </c>
      <c r="E211" s="21" t="s">
        <v>103</v>
      </c>
      <c r="F211" s="24"/>
      <c r="G211" s="22"/>
      <c r="H211" s="22" t="s">
        <v>203</v>
      </c>
      <c r="I211" s="22" t="s">
        <v>204</v>
      </c>
      <c r="J211" s="22"/>
      <c r="K211" s="24"/>
      <c r="L211" s="27">
        <v>1580</v>
      </c>
      <c r="M211" s="28">
        <v>0.06</v>
      </c>
      <c r="N211" s="29" t="s">
        <v>232</v>
      </c>
      <c r="O211" s="30">
        <v>1580</v>
      </c>
      <c r="P211" s="29" t="s">
        <v>232</v>
      </c>
      <c r="Q211" s="22" t="s">
        <v>94</v>
      </c>
      <c r="R211" s="22" t="s">
        <v>103</v>
      </c>
      <c r="S211" s="22" t="s">
        <v>152</v>
      </c>
      <c r="T211" s="22" t="s">
        <v>105</v>
      </c>
      <c r="U211" s="31"/>
      <c r="V211" s="24" t="s">
        <v>233</v>
      </c>
    </row>
    <row r="212" ht="14.25" spans="1:22">
      <c r="A212" s="21" t="s">
        <v>199</v>
      </c>
      <c r="B212" s="21" t="s">
        <v>200</v>
      </c>
      <c r="C212" s="22" t="s">
        <v>825</v>
      </c>
      <c r="D212" s="23" t="s">
        <v>826</v>
      </c>
      <c r="E212" s="21" t="s">
        <v>103</v>
      </c>
      <c r="F212" s="24"/>
      <c r="G212" s="22"/>
      <c r="H212" s="22" t="s">
        <v>203</v>
      </c>
      <c r="I212" s="22" t="s">
        <v>204</v>
      </c>
      <c r="J212" s="22"/>
      <c r="K212" s="24"/>
      <c r="L212" s="27">
        <v>1581</v>
      </c>
      <c r="M212" s="28">
        <v>0.06</v>
      </c>
      <c r="N212" s="29" t="s">
        <v>827</v>
      </c>
      <c r="O212" s="30">
        <v>1581</v>
      </c>
      <c r="P212" s="29" t="s">
        <v>827</v>
      </c>
      <c r="Q212" s="22" t="s">
        <v>94</v>
      </c>
      <c r="R212" s="22" t="s">
        <v>103</v>
      </c>
      <c r="S212" s="22" t="s">
        <v>152</v>
      </c>
      <c r="T212" s="22" t="s">
        <v>105</v>
      </c>
      <c r="U212" s="31"/>
      <c r="V212" s="24" t="s">
        <v>828</v>
      </c>
    </row>
    <row r="213" ht="14.25" spans="1:22">
      <c r="A213" s="21" t="s">
        <v>199</v>
      </c>
      <c r="B213" s="21" t="s">
        <v>200</v>
      </c>
      <c r="C213" s="22" t="s">
        <v>829</v>
      </c>
      <c r="D213" s="23" t="s">
        <v>830</v>
      </c>
      <c r="E213" s="21" t="s">
        <v>103</v>
      </c>
      <c r="F213" s="24"/>
      <c r="G213" s="22"/>
      <c r="H213" s="22" t="s">
        <v>203</v>
      </c>
      <c r="I213" s="22" t="s">
        <v>204</v>
      </c>
      <c r="J213" s="22"/>
      <c r="K213" s="24"/>
      <c r="L213" s="27">
        <v>1593</v>
      </c>
      <c r="M213" s="28">
        <v>0.06</v>
      </c>
      <c r="N213" s="29" t="s">
        <v>831</v>
      </c>
      <c r="O213" s="30">
        <v>1593</v>
      </c>
      <c r="P213" s="29" t="s">
        <v>831</v>
      </c>
      <c r="Q213" s="22" t="s">
        <v>94</v>
      </c>
      <c r="R213" s="22" t="s">
        <v>103</v>
      </c>
      <c r="S213" s="22" t="s">
        <v>152</v>
      </c>
      <c r="T213" s="22" t="s">
        <v>105</v>
      </c>
      <c r="U213" s="31"/>
      <c r="V213" s="24" t="s">
        <v>832</v>
      </c>
    </row>
    <row r="214" ht="14.25" spans="1:22">
      <c r="A214" s="21" t="s">
        <v>199</v>
      </c>
      <c r="B214" s="21" t="s">
        <v>200</v>
      </c>
      <c r="C214" s="22" t="s">
        <v>833</v>
      </c>
      <c r="D214" s="23" t="s">
        <v>834</v>
      </c>
      <c r="E214" s="21" t="s">
        <v>103</v>
      </c>
      <c r="F214" s="24"/>
      <c r="G214" s="22"/>
      <c r="H214" s="22" t="s">
        <v>203</v>
      </c>
      <c r="I214" s="22" t="s">
        <v>204</v>
      </c>
      <c r="J214" s="22"/>
      <c r="K214" s="24"/>
      <c r="L214" s="27">
        <v>1593</v>
      </c>
      <c r="M214" s="28">
        <v>0.06</v>
      </c>
      <c r="N214" s="29" t="s">
        <v>831</v>
      </c>
      <c r="O214" s="30">
        <v>1593</v>
      </c>
      <c r="P214" s="29" t="s">
        <v>831</v>
      </c>
      <c r="Q214" s="22" t="s">
        <v>94</v>
      </c>
      <c r="R214" s="22" t="s">
        <v>103</v>
      </c>
      <c r="S214" s="22" t="s">
        <v>152</v>
      </c>
      <c r="T214" s="22" t="s">
        <v>105</v>
      </c>
      <c r="U214" s="31"/>
      <c r="V214" s="24" t="s">
        <v>832</v>
      </c>
    </row>
    <row r="215" ht="14.25" spans="1:22">
      <c r="A215" s="21" t="s">
        <v>199</v>
      </c>
      <c r="B215" s="21" t="s">
        <v>200</v>
      </c>
      <c r="C215" s="22" t="s">
        <v>835</v>
      </c>
      <c r="D215" s="23" t="s">
        <v>836</v>
      </c>
      <c r="E215" s="21" t="s">
        <v>103</v>
      </c>
      <c r="F215" s="24"/>
      <c r="G215" s="22"/>
      <c r="H215" s="22" t="s">
        <v>203</v>
      </c>
      <c r="I215" s="22" t="s">
        <v>204</v>
      </c>
      <c r="J215" s="22"/>
      <c r="K215" s="24"/>
      <c r="L215" s="27">
        <v>1594</v>
      </c>
      <c r="M215" s="28">
        <v>0.06</v>
      </c>
      <c r="N215" s="29" t="s">
        <v>837</v>
      </c>
      <c r="O215" s="30">
        <v>1594</v>
      </c>
      <c r="P215" s="29" t="s">
        <v>837</v>
      </c>
      <c r="Q215" s="22" t="s">
        <v>94</v>
      </c>
      <c r="R215" s="22" t="s">
        <v>103</v>
      </c>
      <c r="S215" s="22" t="s">
        <v>152</v>
      </c>
      <c r="T215" s="22" t="s">
        <v>105</v>
      </c>
      <c r="U215" s="31"/>
      <c r="V215" s="24" t="s">
        <v>838</v>
      </c>
    </row>
    <row r="216" ht="14.25" spans="1:22">
      <c r="A216" s="21" t="s">
        <v>199</v>
      </c>
      <c r="B216" s="21" t="s">
        <v>200</v>
      </c>
      <c r="C216" s="22" t="s">
        <v>839</v>
      </c>
      <c r="D216" s="23" t="s">
        <v>840</v>
      </c>
      <c r="E216" s="21" t="s">
        <v>103</v>
      </c>
      <c r="F216" s="24"/>
      <c r="G216" s="22"/>
      <c r="H216" s="22" t="s">
        <v>203</v>
      </c>
      <c r="I216" s="22" t="s">
        <v>204</v>
      </c>
      <c r="J216" s="22"/>
      <c r="K216" s="24"/>
      <c r="L216" s="27">
        <v>1594</v>
      </c>
      <c r="M216" s="28">
        <v>0.06</v>
      </c>
      <c r="N216" s="29" t="s">
        <v>837</v>
      </c>
      <c r="O216" s="30">
        <v>1594</v>
      </c>
      <c r="P216" s="29" t="s">
        <v>837</v>
      </c>
      <c r="Q216" s="22" t="s">
        <v>94</v>
      </c>
      <c r="R216" s="22" t="s">
        <v>103</v>
      </c>
      <c r="S216" s="22" t="s">
        <v>152</v>
      </c>
      <c r="T216" s="22" t="s">
        <v>105</v>
      </c>
      <c r="U216" s="31"/>
      <c r="V216" s="24" t="s">
        <v>838</v>
      </c>
    </row>
    <row r="217" ht="28.5" spans="1:22">
      <c r="A217" s="21" t="s">
        <v>199</v>
      </c>
      <c r="B217" s="21" t="s">
        <v>200</v>
      </c>
      <c r="C217" s="22" t="s">
        <v>841</v>
      </c>
      <c r="D217" s="23" t="s">
        <v>842</v>
      </c>
      <c r="E217" s="21" t="s">
        <v>103</v>
      </c>
      <c r="F217" s="24"/>
      <c r="G217" s="22"/>
      <c r="H217" s="22" t="s">
        <v>203</v>
      </c>
      <c r="I217" s="22" t="s">
        <v>204</v>
      </c>
      <c r="J217" s="22"/>
      <c r="K217" s="24"/>
      <c r="L217" s="27">
        <v>1961</v>
      </c>
      <c r="M217" s="28">
        <v>0.09</v>
      </c>
      <c r="N217" s="29" t="s">
        <v>843</v>
      </c>
      <c r="O217" s="30" t="s">
        <v>844</v>
      </c>
      <c r="P217" s="29" t="s">
        <v>845</v>
      </c>
      <c r="Q217" s="22" t="s">
        <v>103</v>
      </c>
      <c r="R217" s="22" t="s">
        <v>103</v>
      </c>
      <c r="S217" s="22" t="s">
        <v>104</v>
      </c>
      <c r="T217" s="22" t="s">
        <v>105</v>
      </c>
      <c r="U217" s="31"/>
      <c r="V217" s="24"/>
    </row>
    <row r="218" ht="14.25" spans="1:22">
      <c r="A218" s="21" t="s">
        <v>199</v>
      </c>
      <c r="B218" s="21" t="s">
        <v>200</v>
      </c>
      <c r="C218" s="22" t="s">
        <v>846</v>
      </c>
      <c r="D218" s="23" t="s">
        <v>847</v>
      </c>
      <c r="E218" s="21" t="s">
        <v>103</v>
      </c>
      <c r="F218" s="24"/>
      <c r="G218" s="22"/>
      <c r="H218" s="22" t="s">
        <v>203</v>
      </c>
      <c r="I218" s="22" t="s">
        <v>204</v>
      </c>
      <c r="J218" s="22"/>
      <c r="K218" s="24"/>
      <c r="L218" s="27" t="s">
        <v>848</v>
      </c>
      <c r="M218" s="28"/>
      <c r="N218" s="29"/>
      <c r="O218" s="30"/>
      <c r="P218" s="29"/>
      <c r="Q218" s="22" t="s">
        <v>103</v>
      </c>
      <c r="R218" s="22" t="s">
        <v>103</v>
      </c>
      <c r="S218" s="22" t="s">
        <v>152</v>
      </c>
      <c r="T218" s="22" t="s">
        <v>105</v>
      </c>
      <c r="U218" s="31"/>
      <c r="V218" s="24"/>
    </row>
    <row r="219" ht="14.25" spans="1:22">
      <c r="A219" s="21" t="s">
        <v>199</v>
      </c>
      <c r="B219" s="21" t="s">
        <v>200</v>
      </c>
      <c r="C219" s="22" t="s">
        <v>849</v>
      </c>
      <c r="D219" s="23" t="s">
        <v>850</v>
      </c>
      <c r="E219" s="21" t="s">
        <v>103</v>
      </c>
      <c r="F219" s="24"/>
      <c r="G219" s="22"/>
      <c r="H219" s="22" t="s">
        <v>203</v>
      </c>
      <c r="I219" s="22" t="s">
        <v>204</v>
      </c>
      <c r="J219" s="22"/>
      <c r="K219" s="24"/>
      <c r="L219" s="27">
        <v>1986</v>
      </c>
      <c r="M219" s="28">
        <v>0.06</v>
      </c>
      <c r="N219" s="29" t="s">
        <v>851</v>
      </c>
      <c r="O219" s="30">
        <v>1986</v>
      </c>
      <c r="P219" s="29" t="s">
        <v>851</v>
      </c>
      <c r="Q219" s="22" t="s">
        <v>103</v>
      </c>
      <c r="R219" s="22" t="s">
        <v>103</v>
      </c>
      <c r="S219" s="22" t="s">
        <v>152</v>
      </c>
      <c r="T219" s="22" t="s">
        <v>105</v>
      </c>
      <c r="U219" s="31"/>
      <c r="V219" s="24"/>
    </row>
    <row r="220" ht="14.25" spans="1:22">
      <c r="A220" s="21" t="s">
        <v>199</v>
      </c>
      <c r="B220" s="21" t="s">
        <v>200</v>
      </c>
      <c r="C220" s="22" t="s">
        <v>852</v>
      </c>
      <c r="D220" s="23" t="s">
        <v>853</v>
      </c>
      <c r="E220" s="21" t="s">
        <v>103</v>
      </c>
      <c r="F220" s="24"/>
      <c r="G220" s="22"/>
      <c r="H220" s="22" t="s">
        <v>203</v>
      </c>
      <c r="I220" s="22" t="s">
        <v>204</v>
      </c>
      <c r="J220" s="22"/>
      <c r="K220" s="24"/>
      <c r="L220" s="27">
        <v>1586</v>
      </c>
      <c r="M220" s="28">
        <v>0.06</v>
      </c>
      <c r="N220" s="29" t="s">
        <v>854</v>
      </c>
      <c r="O220" s="30">
        <v>1586</v>
      </c>
      <c r="P220" s="29" t="s">
        <v>854</v>
      </c>
      <c r="Q220" s="22" t="s">
        <v>103</v>
      </c>
      <c r="R220" s="22" t="s">
        <v>103</v>
      </c>
      <c r="S220" s="22" t="s">
        <v>152</v>
      </c>
      <c r="T220" s="22" t="s">
        <v>105</v>
      </c>
      <c r="U220" s="31"/>
      <c r="V220" s="24" t="s">
        <v>855</v>
      </c>
    </row>
    <row r="221" ht="14.25" spans="1:22">
      <c r="A221" s="21" t="s">
        <v>199</v>
      </c>
      <c r="B221" s="21" t="s">
        <v>200</v>
      </c>
      <c r="C221" s="22" t="s">
        <v>856</v>
      </c>
      <c r="D221" s="23" t="s">
        <v>857</v>
      </c>
      <c r="E221" s="21" t="s">
        <v>103</v>
      </c>
      <c r="F221" s="24"/>
      <c r="G221" s="22"/>
      <c r="H221" s="22" t="s">
        <v>203</v>
      </c>
      <c r="I221" s="22" t="s">
        <v>204</v>
      </c>
      <c r="J221" s="22"/>
      <c r="K221" s="24"/>
      <c r="L221" s="27">
        <v>1586</v>
      </c>
      <c r="M221" s="28">
        <v>0.06</v>
      </c>
      <c r="N221" s="29" t="s">
        <v>854</v>
      </c>
      <c r="O221" s="30">
        <v>1586</v>
      </c>
      <c r="P221" s="29" t="s">
        <v>854</v>
      </c>
      <c r="Q221" s="22" t="s">
        <v>103</v>
      </c>
      <c r="R221" s="22" t="s">
        <v>103</v>
      </c>
      <c r="S221" s="22" t="s">
        <v>152</v>
      </c>
      <c r="T221" s="22" t="s">
        <v>105</v>
      </c>
      <c r="U221" s="31"/>
      <c r="V221" s="24" t="s">
        <v>855</v>
      </c>
    </row>
    <row r="222" ht="14.25" spans="1:22">
      <c r="A222" s="21" t="s">
        <v>199</v>
      </c>
      <c r="B222" s="21" t="s">
        <v>200</v>
      </c>
      <c r="C222" s="22" t="s">
        <v>858</v>
      </c>
      <c r="D222" s="23" t="s">
        <v>859</v>
      </c>
      <c r="E222" s="21" t="s">
        <v>103</v>
      </c>
      <c r="F222" s="24"/>
      <c r="G222" s="22"/>
      <c r="H222" s="22" t="s">
        <v>203</v>
      </c>
      <c r="I222" s="22" t="s">
        <v>204</v>
      </c>
      <c r="J222" s="22"/>
      <c r="K222" s="24"/>
      <c r="L222" s="27">
        <v>1586</v>
      </c>
      <c r="M222" s="28">
        <v>0.06</v>
      </c>
      <c r="N222" s="29" t="s">
        <v>854</v>
      </c>
      <c r="O222" s="30">
        <v>1586</v>
      </c>
      <c r="P222" s="29" t="s">
        <v>854</v>
      </c>
      <c r="Q222" s="22" t="s">
        <v>103</v>
      </c>
      <c r="R222" s="22" t="s">
        <v>103</v>
      </c>
      <c r="S222" s="22" t="s">
        <v>152</v>
      </c>
      <c r="T222" s="22" t="s">
        <v>105</v>
      </c>
      <c r="U222" s="31"/>
      <c r="V222" s="24" t="s">
        <v>855</v>
      </c>
    </row>
    <row r="223" ht="14.25" spans="1:22">
      <c r="A223" s="21" t="s">
        <v>199</v>
      </c>
      <c r="B223" s="21" t="s">
        <v>200</v>
      </c>
      <c r="C223" s="22" t="s">
        <v>860</v>
      </c>
      <c r="D223" s="23" t="s">
        <v>861</v>
      </c>
      <c r="E223" s="21" t="s">
        <v>103</v>
      </c>
      <c r="F223" s="24"/>
      <c r="G223" s="22"/>
      <c r="H223" s="22" t="s">
        <v>203</v>
      </c>
      <c r="I223" s="22" t="s">
        <v>204</v>
      </c>
      <c r="J223" s="22"/>
      <c r="K223" s="24"/>
      <c r="L223" s="27">
        <v>1582</v>
      </c>
      <c r="M223" s="28">
        <v>0.06</v>
      </c>
      <c r="N223" s="29" t="s">
        <v>789</v>
      </c>
      <c r="O223" s="30">
        <v>1582</v>
      </c>
      <c r="P223" s="29" t="s">
        <v>789</v>
      </c>
      <c r="Q223" s="22" t="s">
        <v>103</v>
      </c>
      <c r="R223" s="22" t="s">
        <v>103</v>
      </c>
      <c r="S223" s="22" t="s">
        <v>152</v>
      </c>
      <c r="T223" s="22" t="s">
        <v>105</v>
      </c>
      <c r="U223" s="31"/>
      <c r="V223" s="24" t="s">
        <v>790</v>
      </c>
    </row>
    <row r="224" ht="14.25" spans="1:22">
      <c r="A224" s="21" t="s">
        <v>199</v>
      </c>
      <c r="B224" s="21" t="s">
        <v>200</v>
      </c>
      <c r="C224" s="22" t="s">
        <v>862</v>
      </c>
      <c r="D224" s="23" t="s">
        <v>863</v>
      </c>
      <c r="E224" s="21" t="s">
        <v>103</v>
      </c>
      <c r="F224" s="24"/>
      <c r="G224" s="22"/>
      <c r="H224" s="22" t="s">
        <v>203</v>
      </c>
      <c r="I224" s="22" t="s">
        <v>204</v>
      </c>
      <c r="J224" s="22"/>
      <c r="K224" s="24"/>
      <c r="L224" s="27">
        <v>1582</v>
      </c>
      <c r="M224" s="28">
        <v>0.06</v>
      </c>
      <c r="N224" s="29" t="s">
        <v>789</v>
      </c>
      <c r="O224" s="30">
        <v>1582</v>
      </c>
      <c r="P224" s="29" t="s">
        <v>789</v>
      </c>
      <c r="Q224" s="22" t="s">
        <v>103</v>
      </c>
      <c r="R224" s="22" t="s">
        <v>103</v>
      </c>
      <c r="S224" s="22" t="s">
        <v>152</v>
      </c>
      <c r="T224" s="22" t="s">
        <v>105</v>
      </c>
      <c r="U224" s="31"/>
      <c r="V224" s="24" t="s">
        <v>790</v>
      </c>
    </row>
    <row r="225" ht="14.25" spans="1:22">
      <c r="A225" s="21" t="s">
        <v>199</v>
      </c>
      <c r="B225" s="21" t="s">
        <v>200</v>
      </c>
      <c r="C225" s="22" t="s">
        <v>864</v>
      </c>
      <c r="D225" s="23" t="s">
        <v>865</v>
      </c>
      <c r="E225" s="21" t="s">
        <v>103</v>
      </c>
      <c r="F225" s="24"/>
      <c r="G225" s="22"/>
      <c r="H225" s="22" t="s">
        <v>203</v>
      </c>
      <c r="I225" s="22" t="s">
        <v>204</v>
      </c>
      <c r="J225" s="22"/>
      <c r="K225" s="24"/>
      <c r="L225" s="27">
        <v>1582</v>
      </c>
      <c r="M225" s="28">
        <v>0.06</v>
      </c>
      <c r="N225" s="29" t="s">
        <v>789</v>
      </c>
      <c r="O225" s="30">
        <v>1582</v>
      </c>
      <c r="P225" s="29" t="s">
        <v>789</v>
      </c>
      <c r="Q225" s="22" t="s">
        <v>103</v>
      </c>
      <c r="R225" s="22" t="s">
        <v>103</v>
      </c>
      <c r="S225" s="22" t="s">
        <v>152</v>
      </c>
      <c r="T225" s="22" t="s">
        <v>105</v>
      </c>
      <c r="U225" s="31"/>
      <c r="V225" s="24" t="s">
        <v>790</v>
      </c>
    </row>
    <row r="226" ht="14.25" spans="1:22">
      <c r="A226" s="21" t="s">
        <v>199</v>
      </c>
      <c r="B226" s="21" t="s">
        <v>200</v>
      </c>
      <c r="C226" s="22" t="s">
        <v>866</v>
      </c>
      <c r="D226" s="23" t="s">
        <v>867</v>
      </c>
      <c r="E226" s="21" t="s">
        <v>103</v>
      </c>
      <c r="F226" s="24"/>
      <c r="G226" s="22"/>
      <c r="H226" s="22" t="s">
        <v>203</v>
      </c>
      <c r="I226" s="22" t="s">
        <v>204</v>
      </c>
      <c r="J226" s="22"/>
      <c r="K226" s="24"/>
      <c r="L226" s="27">
        <v>1582</v>
      </c>
      <c r="M226" s="28">
        <v>0.06</v>
      </c>
      <c r="N226" s="29" t="s">
        <v>789</v>
      </c>
      <c r="O226" s="30">
        <v>1582</v>
      </c>
      <c r="P226" s="29" t="s">
        <v>789</v>
      </c>
      <c r="Q226" s="22" t="s">
        <v>103</v>
      </c>
      <c r="R226" s="22" t="s">
        <v>103</v>
      </c>
      <c r="S226" s="22" t="s">
        <v>152</v>
      </c>
      <c r="T226" s="22" t="s">
        <v>105</v>
      </c>
      <c r="U226" s="31"/>
      <c r="V226" s="24" t="s">
        <v>790</v>
      </c>
    </row>
    <row r="227" ht="14.25" spans="1:22">
      <c r="A227" s="21" t="s">
        <v>199</v>
      </c>
      <c r="B227" s="21" t="s">
        <v>200</v>
      </c>
      <c r="C227" s="22" t="s">
        <v>868</v>
      </c>
      <c r="D227" s="23" t="s">
        <v>869</v>
      </c>
      <c r="E227" s="21" t="s">
        <v>103</v>
      </c>
      <c r="F227" s="24"/>
      <c r="G227" s="22"/>
      <c r="H227" s="22" t="s">
        <v>203</v>
      </c>
      <c r="I227" s="22" t="s">
        <v>204</v>
      </c>
      <c r="J227" s="22"/>
      <c r="K227" s="24"/>
      <c r="L227" s="27">
        <v>1593</v>
      </c>
      <c r="M227" s="28">
        <v>0.06</v>
      </c>
      <c r="N227" s="29" t="s">
        <v>831</v>
      </c>
      <c r="O227" s="30">
        <v>1593</v>
      </c>
      <c r="P227" s="29" t="s">
        <v>831</v>
      </c>
      <c r="Q227" s="22" t="s">
        <v>103</v>
      </c>
      <c r="R227" s="22" t="s">
        <v>103</v>
      </c>
      <c r="S227" s="22" t="s">
        <v>152</v>
      </c>
      <c r="T227" s="22" t="s">
        <v>105</v>
      </c>
      <c r="U227" s="31"/>
      <c r="V227" s="24" t="s">
        <v>832</v>
      </c>
    </row>
    <row r="228" ht="14.25" spans="1:22">
      <c r="A228" s="21" t="s">
        <v>199</v>
      </c>
      <c r="B228" s="21" t="s">
        <v>200</v>
      </c>
      <c r="C228" s="22" t="s">
        <v>870</v>
      </c>
      <c r="D228" s="23" t="s">
        <v>871</v>
      </c>
      <c r="E228" s="21" t="s">
        <v>103</v>
      </c>
      <c r="F228" s="24"/>
      <c r="G228" s="22"/>
      <c r="H228" s="22" t="s">
        <v>203</v>
      </c>
      <c r="I228" s="22" t="s">
        <v>204</v>
      </c>
      <c r="J228" s="22"/>
      <c r="K228" s="24"/>
      <c r="L228" s="27">
        <v>1592</v>
      </c>
      <c r="M228" s="28">
        <v>0.06</v>
      </c>
      <c r="N228" s="29" t="s">
        <v>331</v>
      </c>
      <c r="O228" s="30">
        <v>1592</v>
      </c>
      <c r="P228" s="29" t="s">
        <v>331</v>
      </c>
      <c r="Q228" s="22" t="s">
        <v>103</v>
      </c>
      <c r="R228" s="22" t="s">
        <v>103</v>
      </c>
      <c r="S228" s="22" t="s">
        <v>152</v>
      </c>
      <c r="T228" s="22" t="s">
        <v>105</v>
      </c>
      <c r="U228" s="31"/>
      <c r="V228" s="24" t="s">
        <v>332</v>
      </c>
    </row>
    <row r="229" ht="14.25" spans="1:22">
      <c r="A229" s="21" t="s">
        <v>199</v>
      </c>
      <c r="B229" s="21" t="s">
        <v>200</v>
      </c>
      <c r="C229" s="22" t="s">
        <v>872</v>
      </c>
      <c r="D229" s="23" t="s">
        <v>873</v>
      </c>
      <c r="E229" s="21" t="s">
        <v>103</v>
      </c>
      <c r="F229" s="24"/>
      <c r="G229" s="22"/>
      <c r="H229" s="22" t="s">
        <v>203</v>
      </c>
      <c r="I229" s="22" t="s">
        <v>204</v>
      </c>
      <c r="J229" s="22"/>
      <c r="K229" s="24"/>
      <c r="L229" s="27">
        <v>1591</v>
      </c>
      <c r="M229" s="28">
        <v>0.06</v>
      </c>
      <c r="N229" s="29" t="s">
        <v>220</v>
      </c>
      <c r="O229" s="30">
        <v>1591</v>
      </c>
      <c r="P229" s="29" t="s">
        <v>220</v>
      </c>
      <c r="Q229" s="22" t="s">
        <v>103</v>
      </c>
      <c r="R229" s="22" t="s">
        <v>103</v>
      </c>
      <c r="S229" s="22" t="s">
        <v>152</v>
      </c>
      <c r="T229" s="22" t="s">
        <v>105</v>
      </c>
      <c r="U229" s="31"/>
      <c r="V229" s="24" t="s">
        <v>221</v>
      </c>
    </row>
    <row r="230" ht="14.25" spans="1:22">
      <c r="A230" s="21" t="s">
        <v>199</v>
      </c>
      <c r="B230" s="21" t="s">
        <v>200</v>
      </c>
      <c r="C230" s="22" t="s">
        <v>874</v>
      </c>
      <c r="D230" s="23" t="s">
        <v>875</v>
      </c>
      <c r="E230" s="21" t="s">
        <v>103</v>
      </c>
      <c r="F230" s="24"/>
      <c r="G230" s="22"/>
      <c r="H230" s="22" t="s">
        <v>203</v>
      </c>
      <c r="I230" s="22" t="s">
        <v>204</v>
      </c>
      <c r="J230" s="22"/>
      <c r="K230" s="24"/>
      <c r="L230" s="27">
        <v>1581</v>
      </c>
      <c r="M230" s="28">
        <v>0.06</v>
      </c>
      <c r="N230" s="29" t="s">
        <v>827</v>
      </c>
      <c r="O230" s="30">
        <v>1581</v>
      </c>
      <c r="P230" s="29" t="s">
        <v>827</v>
      </c>
      <c r="Q230" s="22" t="s">
        <v>103</v>
      </c>
      <c r="R230" s="22" t="s">
        <v>103</v>
      </c>
      <c r="S230" s="22" t="s">
        <v>152</v>
      </c>
      <c r="T230" s="22" t="s">
        <v>105</v>
      </c>
      <c r="U230" s="31"/>
      <c r="V230" s="24" t="s">
        <v>828</v>
      </c>
    </row>
    <row r="231" ht="14.25" spans="1:22">
      <c r="A231" s="21" t="s">
        <v>199</v>
      </c>
      <c r="B231" s="21" t="s">
        <v>748</v>
      </c>
      <c r="C231" s="22" t="s">
        <v>876</v>
      </c>
      <c r="D231" s="23" t="s">
        <v>877</v>
      </c>
      <c r="E231" s="21" t="s">
        <v>103</v>
      </c>
      <c r="F231" s="24"/>
      <c r="G231" s="22"/>
      <c r="H231" s="22" t="s">
        <v>748</v>
      </c>
      <c r="I231" s="22" t="s">
        <v>204</v>
      </c>
      <c r="J231" s="22"/>
      <c r="K231" s="24"/>
      <c r="L231" s="27">
        <v>1966</v>
      </c>
      <c r="M231" s="28">
        <v>0.06</v>
      </c>
      <c r="N231" s="29" t="s">
        <v>878</v>
      </c>
      <c r="O231" s="30">
        <v>1966</v>
      </c>
      <c r="P231" s="29" t="s">
        <v>878</v>
      </c>
      <c r="Q231" s="22" t="s">
        <v>103</v>
      </c>
      <c r="R231" s="22" t="s">
        <v>103</v>
      </c>
      <c r="S231" s="22" t="s">
        <v>152</v>
      </c>
      <c r="T231" s="22" t="s">
        <v>105</v>
      </c>
      <c r="U231" s="31"/>
      <c r="V231" s="24"/>
    </row>
    <row r="232" ht="14.25" spans="1:22">
      <c r="A232" s="21" t="s">
        <v>199</v>
      </c>
      <c r="B232" s="21" t="s">
        <v>748</v>
      </c>
      <c r="C232" s="22" t="s">
        <v>879</v>
      </c>
      <c r="D232" s="23" t="s">
        <v>880</v>
      </c>
      <c r="E232" s="21" t="s">
        <v>103</v>
      </c>
      <c r="F232" s="24"/>
      <c r="G232" s="22"/>
      <c r="H232" s="22" t="s">
        <v>748</v>
      </c>
      <c r="I232" s="22" t="s">
        <v>204</v>
      </c>
      <c r="J232" s="22"/>
      <c r="K232" s="24"/>
      <c r="L232" s="27">
        <v>2771</v>
      </c>
      <c r="M232" s="28">
        <v>0.06</v>
      </c>
      <c r="N232" s="29" t="s">
        <v>881</v>
      </c>
      <c r="O232" s="30">
        <v>2771</v>
      </c>
      <c r="P232" s="29" t="s">
        <v>881</v>
      </c>
      <c r="Q232" s="22" t="s">
        <v>103</v>
      </c>
      <c r="R232" s="22" t="s">
        <v>103</v>
      </c>
      <c r="S232" s="22" t="s">
        <v>152</v>
      </c>
      <c r="T232" s="22" t="s">
        <v>105</v>
      </c>
      <c r="U232" s="31"/>
      <c r="V232" s="24" t="s">
        <v>882</v>
      </c>
    </row>
    <row r="233" ht="14.25" spans="1:22">
      <c r="A233" s="21" t="s">
        <v>199</v>
      </c>
      <c r="B233" s="21" t="s">
        <v>200</v>
      </c>
      <c r="C233" s="22" t="s">
        <v>883</v>
      </c>
      <c r="D233" s="23" t="s">
        <v>884</v>
      </c>
      <c r="E233" s="21" t="s">
        <v>103</v>
      </c>
      <c r="F233" s="24"/>
      <c r="G233" s="22"/>
      <c r="H233" s="22" t="s">
        <v>363</v>
      </c>
      <c r="I233" s="22" t="s">
        <v>204</v>
      </c>
      <c r="J233" s="22"/>
      <c r="K233" s="24"/>
      <c r="L233" s="27">
        <v>2360</v>
      </c>
      <c r="M233" s="28">
        <v>0.06</v>
      </c>
      <c r="N233" s="29" t="s">
        <v>885</v>
      </c>
      <c r="O233" s="30">
        <v>2360</v>
      </c>
      <c r="P233" s="29" t="s">
        <v>885</v>
      </c>
      <c r="Q233" s="22" t="s">
        <v>103</v>
      </c>
      <c r="R233" s="22" t="s">
        <v>103</v>
      </c>
      <c r="S233" s="22" t="s">
        <v>152</v>
      </c>
      <c r="T233" s="22" t="s">
        <v>105</v>
      </c>
      <c r="U233" s="31"/>
      <c r="V233" s="24" t="s">
        <v>886</v>
      </c>
    </row>
    <row r="234" ht="14.25" spans="1:22">
      <c r="A234" s="21" t="s">
        <v>199</v>
      </c>
      <c r="B234" s="21" t="s">
        <v>200</v>
      </c>
      <c r="C234" s="22" t="s">
        <v>887</v>
      </c>
      <c r="D234" s="23" t="s">
        <v>888</v>
      </c>
      <c r="E234" s="21" t="s">
        <v>103</v>
      </c>
      <c r="F234" s="24"/>
      <c r="G234" s="22"/>
      <c r="H234" s="22" t="s">
        <v>203</v>
      </c>
      <c r="I234" s="22" t="s">
        <v>204</v>
      </c>
      <c r="J234" s="22"/>
      <c r="K234" s="24"/>
      <c r="L234" s="27">
        <v>2836</v>
      </c>
      <c r="M234" s="28">
        <v>0.06</v>
      </c>
      <c r="N234" s="29" t="s">
        <v>759</v>
      </c>
      <c r="O234" s="30">
        <v>2836</v>
      </c>
      <c r="P234" s="29" t="s">
        <v>759</v>
      </c>
      <c r="Q234" s="22" t="s">
        <v>103</v>
      </c>
      <c r="R234" s="22" t="s">
        <v>103</v>
      </c>
      <c r="S234" s="22" t="s">
        <v>152</v>
      </c>
      <c r="T234" s="22" t="s">
        <v>105</v>
      </c>
      <c r="U234" s="31"/>
      <c r="V234" s="24" t="s">
        <v>760</v>
      </c>
    </row>
    <row r="235" ht="14.25" spans="1:22">
      <c r="A235" s="21" t="s">
        <v>199</v>
      </c>
      <c r="B235" s="21" t="s">
        <v>200</v>
      </c>
      <c r="C235" s="22" t="s">
        <v>889</v>
      </c>
      <c r="D235" s="23" t="s">
        <v>890</v>
      </c>
      <c r="E235" s="21" t="s">
        <v>103</v>
      </c>
      <c r="F235" s="24"/>
      <c r="G235" s="22"/>
      <c r="H235" s="22" t="s">
        <v>203</v>
      </c>
      <c r="I235" s="22" t="s">
        <v>204</v>
      </c>
      <c r="J235" s="22"/>
      <c r="K235" s="24"/>
      <c r="L235" s="27">
        <v>1946</v>
      </c>
      <c r="M235" s="28">
        <v>0.06</v>
      </c>
      <c r="N235" s="29" t="s">
        <v>891</v>
      </c>
      <c r="O235" s="30">
        <v>1946</v>
      </c>
      <c r="P235" s="29" t="s">
        <v>891</v>
      </c>
      <c r="Q235" s="22" t="s">
        <v>103</v>
      </c>
      <c r="R235" s="22" t="s">
        <v>103</v>
      </c>
      <c r="S235" s="22" t="s">
        <v>152</v>
      </c>
      <c r="T235" s="22" t="s">
        <v>105</v>
      </c>
      <c r="U235" s="31"/>
      <c r="V235" s="24"/>
    </row>
    <row r="236" ht="14.25" spans="1:22">
      <c r="A236" s="21" t="s">
        <v>199</v>
      </c>
      <c r="B236" s="21" t="s">
        <v>200</v>
      </c>
      <c r="C236" s="22" t="s">
        <v>892</v>
      </c>
      <c r="D236" s="23" t="s">
        <v>893</v>
      </c>
      <c r="E236" s="21" t="s">
        <v>103</v>
      </c>
      <c r="F236" s="24"/>
      <c r="G236" s="22"/>
      <c r="H236" s="22" t="s">
        <v>203</v>
      </c>
      <c r="I236" s="22" t="s">
        <v>204</v>
      </c>
      <c r="J236" s="22"/>
      <c r="K236" s="24"/>
      <c r="L236" s="27">
        <v>1949</v>
      </c>
      <c r="M236" s="28">
        <v>0.06</v>
      </c>
      <c r="N236" s="29" t="s">
        <v>894</v>
      </c>
      <c r="O236" s="30">
        <v>1949</v>
      </c>
      <c r="P236" s="29" t="s">
        <v>894</v>
      </c>
      <c r="Q236" s="22" t="s">
        <v>103</v>
      </c>
      <c r="R236" s="22" t="s">
        <v>103</v>
      </c>
      <c r="S236" s="22" t="s">
        <v>152</v>
      </c>
      <c r="T236" s="22" t="s">
        <v>105</v>
      </c>
      <c r="U236" s="31"/>
      <c r="V236" s="24"/>
    </row>
    <row r="237" ht="14.25" spans="1:22">
      <c r="A237" s="21" t="s">
        <v>199</v>
      </c>
      <c r="B237" s="21" t="s">
        <v>200</v>
      </c>
      <c r="C237" s="22" t="s">
        <v>895</v>
      </c>
      <c r="D237" s="23" t="s">
        <v>896</v>
      </c>
      <c r="E237" s="21" t="s">
        <v>103</v>
      </c>
      <c r="F237" s="24"/>
      <c r="G237" s="22"/>
      <c r="H237" s="22" t="s">
        <v>203</v>
      </c>
      <c r="I237" s="22" t="s">
        <v>204</v>
      </c>
      <c r="J237" s="22"/>
      <c r="K237" s="24"/>
      <c r="L237" s="27">
        <v>2837</v>
      </c>
      <c r="M237" s="28">
        <v>0.06</v>
      </c>
      <c r="N237" s="29" t="s">
        <v>897</v>
      </c>
      <c r="O237" s="30">
        <v>2837</v>
      </c>
      <c r="P237" s="29" t="s">
        <v>897</v>
      </c>
      <c r="Q237" s="22" t="s">
        <v>103</v>
      </c>
      <c r="R237" s="22" t="s">
        <v>103</v>
      </c>
      <c r="S237" s="22" t="s">
        <v>152</v>
      </c>
      <c r="T237" s="22" t="s">
        <v>105</v>
      </c>
      <c r="U237" s="31"/>
      <c r="V237" s="24" t="s">
        <v>898</v>
      </c>
    </row>
    <row r="238" ht="14.25" spans="1:22">
      <c r="A238" s="21" t="s">
        <v>199</v>
      </c>
      <c r="B238" s="21" t="s">
        <v>200</v>
      </c>
      <c r="C238" s="22" t="s">
        <v>899</v>
      </c>
      <c r="D238" s="23" t="s">
        <v>900</v>
      </c>
      <c r="E238" s="21" t="s">
        <v>103</v>
      </c>
      <c r="F238" s="24"/>
      <c r="G238" s="22"/>
      <c r="H238" s="22" t="s">
        <v>203</v>
      </c>
      <c r="I238" s="22" t="s">
        <v>204</v>
      </c>
      <c r="J238" s="22"/>
      <c r="K238" s="24"/>
      <c r="L238" s="27">
        <v>1949</v>
      </c>
      <c r="M238" s="28">
        <v>0.06</v>
      </c>
      <c r="N238" s="29" t="s">
        <v>894</v>
      </c>
      <c r="O238" s="30">
        <v>1949</v>
      </c>
      <c r="P238" s="29" t="s">
        <v>894</v>
      </c>
      <c r="Q238" s="22" t="s">
        <v>103</v>
      </c>
      <c r="R238" s="22" t="s">
        <v>103</v>
      </c>
      <c r="S238" s="22" t="s">
        <v>152</v>
      </c>
      <c r="T238" s="22" t="s">
        <v>105</v>
      </c>
      <c r="U238" s="31"/>
      <c r="V238" s="24"/>
    </row>
    <row r="239" ht="14.25" spans="1:22">
      <c r="A239" s="21" t="s">
        <v>199</v>
      </c>
      <c r="B239" s="21" t="s">
        <v>200</v>
      </c>
      <c r="C239" s="22" t="s">
        <v>901</v>
      </c>
      <c r="D239" s="23" t="s">
        <v>902</v>
      </c>
      <c r="E239" s="21" t="s">
        <v>103</v>
      </c>
      <c r="F239" s="24"/>
      <c r="G239" s="22"/>
      <c r="H239" s="22" t="s">
        <v>203</v>
      </c>
      <c r="I239" s="22" t="s">
        <v>204</v>
      </c>
      <c r="J239" s="22"/>
      <c r="K239" s="24"/>
      <c r="L239" s="27">
        <v>1947</v>
      </c>
      <c r="M239" s="28">
        <v>0.06</v>
      </c>
      <c r="N239" s="29" t="s">
        <v>403</v>
      </c>
      <c r="O239" s="30">
        <v>1947</v>
      </c>
      <c r="P239" s="29" t="s">
        <v>403</v>
      </c>
      <c r="Q239" s="22" t="s">
        <v>103</v>
      </c>
      <c r="R239" s="22" t="s">
        <v>103</v>
      </c>
      <c r="S239" s="22" t="s">
        <v>152</v>
      </c>
      <c r="T239" s="22" t="s">
        <v>105</v>
      </c>
      <c r="U239" s="31"/>
      <c r="V239" s="24" t="s">
        <v>903</v>
      </c>
    </row>
    <row r="240" ht="14.25" spans="1:22">
      <c r="A240" s="21" t="s">
        <v>199</v>
      </c>
      <c r="B240" s="21" t="s">
        <v>200</v>
      </c>
      <c r="C240" s="22" t="s">
        <v>904</v>
      </c>
      <c r="D240" s="23" t="s">
        <v>905</v>
      </c>
      <c r="E240" s="21" t="s">
        <v>103</v>
      </c>
      <c r="F240" s="24"/>
      <c r="G240" s="22"/>
      <c r="H240" s="22" t="s">
        <v>203</v>
      </c>
      <c r="I240" s="22" t="s">
        <v>204</v>
      </c>
      <c r="J240" s="22"/>
      <c r="K240" s="24"/>
      <c r="L240" s="27">
        <v>2837</v>
      </c>
      <c r="M240" s="28">
        <v>0.06</v>
      </c>
      <c r="N240" s="29" t="s">
        <v>897</v>
      </c>
      <c r="O240" s="30">
        <v>2837</v>
      </c>
      <c r="P240" s="29" t="s">
        <v>897</v>
      </c>
      <c r="Q240" s="22" t="s">
        <v>103</v>
      </c>
      <c r="R240" s="22" t="s">
        <v>103</v>
      </c>
      <c r="S240" s="22" t="s">
        <v>152</v>
      </c>
      <c r="T240" s="22" t="s">
        <v>105</v>
      </c>
      <c r="U240" s="31"/>
      <c r="V240" s="24" t="s">
        <v>898</v>
      </c>
    </row>
    <row r="241" ht="14.25" spans="1:22">
      <c r="A241" s="21" t="s">
        <v>199</v>
      </c>
      <c r="B241" s="21" t="s">
        <v>200</v>
      </c>
      <c r="C241" s="22" t="s">
        <v>906</v>
      </c>
      <c r="D241" s="23" t="s">
        <v>907</v>
      </c>
      <c r="E241" s="21" t="s">
        <v>103</v>
      </c>
      <c r="F241" s="24"/>
      <c r="G241" s="22"/>
      <c r="H241" s="22" t="s">
        <v>203</v>
      </c>
      <c r="I241" s="22" t="s">
        <v>204</v>
      </c>
      <c r="J241" s="22"/>
      <c r="K241" s="24"/>
      <c r="L241" s="27">
        <v>1949</v>
      </c>
      <c r="M241" s="28">
        <v>0.06</v>
      </c>
      <c r="N241" s="29" t="s">
        <v>894</v>
      </c>
      <c r="O241" s="30">
        <v>1949</v>
      </c>
      <c r="P241" s="29" t="s">
        <v>894</v>
      </c>
      <c r="Q241" s="22" t="s">
        <v>103</v>
      </c>
      <c r="R241" s="22" t="s">
        <v>103</v>
      </c>
      <c r="S241" s="22" t="s">
        <v>152</v>
      </c>
      <c r="T241" s="22" t="s">
        <v>105</v>
      </c>
      <c r="U241" s="31"/>
      <c r="V241" s="24"/>
    </row>
    <row r="242" ht="14.25" spans="1:22">
      <c r="A242" s="21" t="s">
        <v>199</v>
      </c>
      <c r="B242" s="21" t="s">
        <v>200</v>
      </c>
      <c r="C242" s="22" t="s">
        <v>908</v>
      </c>
      <c r="D242" s="23" t="s">
        <v>909</v>
      </c>
      <c r="E242" s="21" t="s">
        <v>103</v>
      </c>
      <c r="F242" s="24"/>
      <c r="G242" s="22"/>
      <c r="H242" s="22" t="s">
        <v>203</v>
      </c>
      <c r="I242" s="22" t="s">
        <v>204</v>
      </c>
      <c r="J242" s="22"/>
      <c r="K242" s="24"/>
      <c r="L242" s="27">
        <v>1949</v>
      </c>
      <c r="M242" s="28">
        <v>0.06</v>
      </c>
      <c r="N242" s="29" t="s">
        <v>894</v>
      </c>
      <c r="O242" s="30">
        <v>1949</v>
      </c>
      <c r="P242" s="29" t="s">
        <v>894</v>
      </c>
      <c r="Q242" s="22" t="s">
        <v>103</v>
      </c>
      <c r="R242" s="22" t="s">
        <v>103</v>
      </c>
      <c r="S242" s="22" t="s">
        <v>152</v>
      </c>
      <c r="T242" s="22" t="s">
        <v>105</v>
      </c>
      <c r="U242" s="31"/>
      <c r="V242" s="24"/>
    </row>
    <row r="243" ht="14.25" spans="1:22">
      <c r="A243" s="21" t="s">
        <v>336</v>
      </c>
      <c r="B243" s="21" t="s">
        <v>337</v>
      </c>
      <c r="C243" s="22" t="s">
        <v>910</v>
      </c>
      <c r="D243" s="23" t="s">
        <v>911</v>
      </c>
      <c r="E243" s="21" t="s">
        <v>103</v>
      </c>
      <c r="F243" s="24"/>
      <c r="G243" s="22"/>
      <c r="H243" s="22" t="s">
        <v>363</v>
      </c>
      <c r="I243" s="22" t="s">
        <v>204</v>
      </c>
      <c r="J243" s="22"/>
      <c r="K243" s="24"/>
      <c r="L243" s="27">
        <v>2349</v>
      </c>
      <c r="M243" s="28">
        <v>0.06</v>
      </c>
      <c r="N243" s="29" t="s">
        <v>912</v>
      </c>
      <c r="O243" s="30">
        <v>2349</v>
      </c>
      <c r="P243" s="29" t="s">
        <v>912</v>
      </c>
      <c r="Q243" s="22" t="s">
        <v>103</v>
      </c>
      <c r="R243" s="22" t="s">
        <v>103</v>
      </c>
      <c r="S243" s="22" t="s">
        <v>152</v>
      </c>
      <c r="T243" s="22" t="s">
        <v>105</v>
      </c>
      <c r="U243" s="31"/>
      <c r="V243" s="24"/>
    </row>
    <row r="244" ht="14.25" spans="1:22">
      <c r="A244" s="21" t="s">
        <v>336</v>
      </c>
      <c r="B244" s="21" t="s">
        <v>337</v>
      </c>
      <c r="C244" s="22" t="s">
        <v>913</v>
      </c>
      <c r="D244" s="23" t="s">
        <v>914</v>
      </c>
      <c r="E244" s="21" t="s">
        <v>103</v>
      </c>
      <c r="F244" s="24"/>
      <c r="G244" s="22"/>
      <c r="H244" s="22" t="s">
        <v>363</v>
      </c>
      <c r="I244" s="22" t="s">
        <v>204</v>
      </c>
      <c r="J244" s="22"/>
      <c r="K244" s="24"/>
      <c r="L244" s="27">
        <v>2349</v>
      </c>
      <c r="M244" s="28">
        <v>0.06</v>
      </c>
      <c r="N244" s="29" t="s">
        <v>912</v>
      </c>
      <c r="O244" s="30">
        <v>2349</v>
      </c>
      <c r="P244" s="29" t="s">
        <v>912</v>
      </c>
      <c r="Q244" s="22" t="s">
        <v>103</v>
      </c>
      <c r="R244" s="22" t="s">
        <v>103</v>
      </c>
      <c r="S244" s="22" t="s">
        <v>152</v>
      </c>
      <c r="T244" s="22" t="s">
        <v>105</v>
      </c>
      <c r="U244" s="31"/>
      <c r="V244" s="24"/>
    </row>
    <row r="245" ht="14.25" spans="1:22">
      <c r="A245" s="21" t="s">
        <v>336</v>
      </c>
      <c r="B245" s="21" t="s">
        <v>337</v>
      </c>
      <c r="C245" s="22" t="s">
        <v>915</v>
      </c>
      <c r="D245" s="23" t="s">
        <v>916</v>
      </c>
      <c r="E245" s="21" t="s">
        <v>103</v>
      </c>
      <c r="F245" s="24"/>
      <c r="G245" s="22"/>
      <c r="H245" s="22" t="s">
        <v>363</v>
      </c>
      <c r="I245" s="22" t="s">
        <v>204</v>
      </c>
      <c r="J245" s="22"/>
      <c r="K245" s="24"/>
      <c r="L245" s="27">
        <v>2349</v>
      </c>
      <c r="M245" s="28">
        <v>0.06</v>
      </c>
      <c r="N245" s="29" t="s">
        <v>912</v>
      </c>
      <c r="O245" s="30">
        <v>2349</v>
      </c>
      <c r="P245" s="29" t="s">
        <v>912</v>
      </c>
      <c r="Q245" s="22" t="s">
        <v>103</v>
      </c>
      <c r="R245" s="22" t="s">
        <v>103</v>
      </c>
      <c r="S245" s="22" t="s">
        <v>152</v>
      </c>
      <c r="T245" s="22" t="s">
        <v>105</v>
      </c>
      <c r="U245" s="31"/>
      <c r="V245" s="24"/>
    </row>
    <row r="246" ht="14.25" spans="1:22">
      <c r="A246" s="21" t="s">
        <v>336</v>
      </c>
      <c r="B246" s="21" t="s">
        <v>337</v>
      </c>
      <c r="C246" s="22" t="s">
        <v>917</v>
      </c>
      <c r="D246" s="23" t="s">
        <v>918</v>
      </c>
      <c r="E246" s="21" t="s">
        <v>103</v>
      </c>
      <c r="F246" s="24"/>
      <c r="G246" s="22"/>
      <c r="H246" s="22" t="s">
        <v>363</v>
      </c>
      <c r="I246" s="22" t="s">
        <v>204</v>
      </c>
      <c r="J246" s="22"/>
      <c r="K246" s="24"/>
      <c r="L246" s="27">
        <v>2349</v>
      </c>
      <c r="M246" s="28">
        <v>0.06</v>
      </c>
      <c r="N246" s="29" t="s">
        <v>912</v>
      </c>
      <c r="O246" s="30">
        <v>2349</v>
      </c>
      <c r="P246" s="29" t="s">
        <v>912</v>
      </c>
      <c r="Q246" s="22" t="s">
        <v>103</v>
      </c>
      <c r="R246" s="22" t="s">
        <v>103</v>
      </c>
      <c r="S246" s="22" t="s">
        <v>152</v>
      </c>
      <c r="T246" s="22" t="s">
        <v>105</v>
      </c>
      <c r="U246" s="31"/>
      <c r="V246" s="24"/>
    </row>
    <row r="247" ht="14.25" spans="1:22">
      <c r="A247" s="21" t="s">
        <v>336</v>
      </c>
      <c r="B247" s="21" t="s">
        <v>337</v>
      </c>
      <c r="C247" s="22" t="s">
        <v>919</v>
      </c>
      <c r="D247" s="23" t="s">
        <v>920</v>
      </c>
      <c r="E247" s="21" t="s">
        <v>103</v>
      </c>
      <c r="F247" s="24"/>
      <c r="G247" s="22"/>
      <c r="H247" s="22" t="s">
        <v>363</v>
      </c>
      <c r="I247" s="22" t="s">
        <v>204</v>
      </c>
      <c r="J247" s="22"/>
      <c r="K247" s="24"/>
      <c r="L247" s="27">
        <v>2349</v>
      </c>
      <c r="M247" s="28">
        <v>0.06</v>
      </c>
      <c r="N247" s="29" t="s">
        <v>912</v>
      </c>
      <c r="O247" s="30">
        <v>2349</v>
      </c>
      <c r="P247" s="29" t="s">
        <v>912</v>
      </c>
      <c r="Q247" s="22" t="s">
        <v>103</v>
      </c>
      <c r="R247" s="22" t="s">
        <v>103</v>
      </c>
      <c r="S247" s="22" t="s">
        <v>152</v>
      </c>
      <c r="T247" s="22" t="s">
        <v>105</v>
      </c>
      <c r="U247" s="31"/>
      <c r="V247" s="24"/>
    </row>
    <row r="248" ht="14.25" spans="1:22">
      <c r="A248" s="21" t="s">
        <v>90</v>
      </c>
      <c r="B248" s="21" t="s">
        <v>91</v>
      </c>
      <c r="C248" s="22" t="s">
        <v>921</v>
      </c>
      <c r="D248" s="23" t="s">
        <v>922</v>
      </c>
      <c r="E248" s="21" t="s">
        <v>94</v>
      </c>
      <c r="F248" s="24"/>
      <c r="G248" s="22"/>
      <c r="H248" s="22" t="s">
        <v>97</v>
      </c>
      <c r="I248" s="22"/>
      <c r="J248" s="22"/>
      <c r="K248" s="24"/>
      <c r="L248" s="27">
        <v>1965</v>
      </c>
      <c r="M248" s="28">
        <v>0.09</v>
      </c>
      <c r="N248" s="29" t="s">
        <v>923</v>
      </c>
      <c r="O248" s="30">
        <v>1965</v>
      </c>
      <c r="P248" s="29" t="s">
        <v>923</v>
      </c>
      <c r="Q248" s="22" t="s">
        <v>103</v>
      </c>
      <c r="R248" s="22" t="s">
        <v>103</v>
      </c>
      <c r="S248" s="22" t="s">
        <v>104</v>
      </c>
      <c r="T248" s="22" t="s">
        <v>105</v>
      </c>
      <c r="U248" s="31"/>
      <c r="V248" s="24"/>
    </row>
    <row r="249" ht="14.25" spans="1:22">
      <c r="A249" s="21" t="s">
        <v>336</v>
      </c>
      <c r="B249" s="21" t="s">
        <v>337</v>
      </c>
      <c r="C249" s="22" t="s">
        <v>924</v>
      </c>
      <c r="D249" s="23" t="s">
        <v>925</v>
      </c>
      <c r="E249" s="21" t="s">
        <v>103</v>
      </c>
      <c r="F249" s="24"/>
      <c r="G249" s="22"/>
      <c r="H249" s="22" t="s">
        <v>363</v>
      </c>
      <c r="I249" s="22" t="s">
        <v>204</v>
      </c>
      <c r="J249" s="22"/>
      <c r="K249" s="24"/>
      <c r="L249" s="27">
        <v>1577</v>
      </c>
      <c r="M249" s="28">
        <v>0.06</v>
      </c>
      <c r="N249" s="29" t="s">
        <v>214</v>
      </c>
      <c r="O249" s="30">
        <v>1577</v>
      </c>
      <c r="P249" s="29" t="s">
        <v>214</v>
      </c>
      <c r="Q249" s="22" t="s">
        <v>103</v>
      </c>
      <c r="R249" s="22" t="s">
        <v>103</v>
      </c>
      <c r="S249" s="22" t="s">
        <v>152</v>
      </c>
      <c r="T249" s="22" t="s">
        <v>105</v>
      </c>
      <c r="U249" s="31"/>
      <c r="V249" s="24" t="s">
        <v>215</v>
      </c>
    </row>
    <row r="250" ht="14.25" spans="1:22">
      <c r="A250" s="21" t="s">
        <v>336</v>
      </c>
      <c r="B250" s="21" t="s">
        <v>337</v>
      </c>
      <c r="C250" s="22" t="s">
        <v>926</v>
      </c>
      <c r="D250" s="23" t="s">
        <v>927</v>
      </c>
      <c r="E250" s="21" t="s">
        <v>103</v>
      </c>
      <c r="F250" s="24"/>
      <c r="G250" s="22"/>
      <c r="H250" s="22" t="s">
        <v>363</v>
      </c>
      <c r="I250" s="22" t="s">
        <v>204</v>
      </c>
      <c r="J250" s="22"/>
      <c r="K250" s="24"/>
      <c r="L250" s="27">
        <v>1590</v>
      </c>
      <c r="M250" s="28">
        <v>0.06</v>
      </c>
      <c r="N250" s="29" t="s">
        <v>210</v>
      </c>
      <c r="O250" s="30">
        <v>1590</v>
      </c>
      <c r="P250" s="29" t="s">
        <v>210</v>
      </c>
      <c r="Q250" s="22" t="s">
        <v>103</v>
      </c>
      <c r="R250" s="22" t="s">
        <v>103</v>
      </c>
      <c r="S250" s="22" t="s">
        <v>152</v>
      </c>
      <c r="T250" s="22" t="s">
        <v>105</v>
      </c>
      <c r="U250" s="31"/>
      <c r="V250" s="24" t="s">
        <v>211</v>
      </c>
    </row>
    <row r="251" ht="14.25" spans="1:22">
      <c r="A251" s="21" t="s">
        <v>199</v>
      </c>
      <c r="B251" s="21" t="s">
        <v>748</v>
      </c>
      <c r="C251" s="22" t="s">
        <v>928</v>
      </c>
      <c r="D251" s="23" t="s">
        <v>929</v>
      </c>
      <c r="E251" s="21" t="s">
        <v>103</v>
      </c>
      <c r="F251" s="24"/>
      <c r="G251" s="22"/>
      <c r="H251" s="22" t="s">
        <v>748</v>
      </c>
      <c r="I251" s="22"/>
      <c r="J251" s="22"/>
      <c r="K251" s="24"/>
      <c r="L251" s="27">
        <v>2771</v>
      </c>
      <c r="M251" s="28">
        <v>0.06</v>
      </c>
      <c r="N251" s="29" t="s">
        <v>881</v>
      </c>
      <c r="O251" s="30">
        <v>2771</v>
      </c>
      <c r="P251" s="29" t="s">
        <v>881</v>
      </c>
      <c r="Q251" s="22" t="s">
        <v>103</v>
      </c>
      <c r="R251" s="22" t="s">
        <v>103</v>
      </c>
      <c r="S251" s="22" t="s">
        <v>152</v>
      </c>
      <c r="T251" s="22" t="s">
        <v>105</v>
      </c>
      <c r="U251" s="31"/>
      <c r="V251" s="24" t="s">
        <v>882</v>
      </c>
    </row>
    <row r="252" ht="14.25" spans="1:22">
      <c r="A252" s="21" t="s">
        <v>199</v>
      </c>
      <c r="B252" s="21" t="s">
        <v>200</v>
      </c>
      <c r="C252" s="22" t="s">
        <v>930</v>
      </c>
      <c r="D252" s="23" t="s">
        <v>931</v>
      </c>
      <c r="E252" s="21" t="s">
        <v>103</v>
      </c>
      <c r="F252" s="24"/>
      <c r="G252" s="22"/>
      <c r="H252" s="22" t="s">
        <v>203</v>
      </c>
      <c r="I252" s="22" t="s">
        <v>204</v>
      </c>
      <c r="J252" s="22"/>
      <c r="K252" s="24"/>
      <c r="L252" s="27">
        <v>1590</v>
      </c>
      <c r="M252" s="28">
        <v>0.06</v>
      </c>
      <c r="N252" s="29" t="s">
        <v>210</v>
      </c>
      <c r="O252" s="30">
        <v>1590</v>
      </c>
      <c r="P252" s="29" t="s">
        <v>210</v>
      </c>
      <c r="Q252" s="22" t="s">
        <v>103</v>
      </c>
      <c r="R252" s="22" t="s">
        <v>103</v>
      </c>
      <c r="S252" s="22" t="s">
        <v>152</v>
      </c>
      <c r="T252" s="22" t="s">
        <v>105</v>
      </c>
      <c r="U252" s="31"/>
      <c r="V252" s="24" t="s">
        <v>211</v>
      </c>
    </row>
    <row r="253" ht="14.25" spans="1:22">
      <c r="A253" s="21" t="s">
        <v>199</v>
      </c>
      <c r="B253" s="21" t="s">
        <v>200</v>
      </c>
      <c r="C253" s="22" t="s">
        <v>932</v>
      </c>
      <c r="D253" s="23" t="s">
        <v>933</v>
      </c>
      <c r="E253" s="21" t="s">
        <v>103</v>
      </c>
      <c r="F253" s="24"/>
      <c r="G253" s="22"/>
      <c r="H253" s="22" t="s">
        <v>203</v>
      </c>
      <c r="I253" s="22" t="s">
        <v>204</v>
      </c>
      <c r="J253" s="22"/>
      <c r="K253" s="24"/>
      <c r="L253" s="27">
        <v>1578</v>
      </c>
      <c r="M253" s="28">
        <v>0.06</v>
      </c>
      <c r="N253" s="29" t="s">
        <v>292</v>
      </c>
      <c r="O253" s="30">
        <v>1578</v>
      </c>
      <c r="P253" s="29" t="s">
        <v>292</v>
      </c>
      <c r="Q253" s="22" t="s">
        <v>103</v>
      </c>
      <c r="R253" s="22" t="s">
        <v>103</v>
      </c>
      <c r="S253" s="22" t="s">
        <v>152</v>
      </c>
      <c r="T253" s="22" t="s">
        <v>105</v>
      </c>
      <c r="U253" s="31"/>
      <c r="V253" s="24" t="s">
        <v>293</v>
      </c>
    </row>
    <row r="254" ht="14.25" spans="1:22">
      <c r="A254" s="21" t="s">
        <v>199</v>
      </c>
      <c r="B254" s="21" t="s">
        <v>200</v>
      </c>
      <c r="C254" s="22" t="s">
        <v>934</v>
      </c>
      <c r="D254" s="23" t="s">
        <v>935</v>
      </c>
      <c r="E254" s="21" t="s">
        <v>103</v>
      </c>
      <c r="F254" s="24"/>
      <c r="G254" s="22"/>
      <c r="H254" s="22" t="s">
        <v>203</v>
      </c>
      <c r="I254" s="22" t="s">
        <v>204</v>
      </c>
      <c r="J254" s="22"/>
      <c r="K254" s="24"/>
      <c r="L254" s="27">
        <v>1580</v>
      </c>
      <c r="M254" s="28">
        <v>0.06</v>
      </c>
      <c r="N254" s="29" t="s">
        <v>232</v>
      </c>
      <c r="O254" s="30">
        <v>1580</v>
      </c>
      <c r="P254" s="29" t="s">
        <v>232</v>
      </c>
      <c r="Q254" s="22" t="s">
        <v>103</v>
      </c>
      <c r="R254" s="22" t="s">
        <v>103</v>
      </c>
      <c r="S254" s="22" t="s">
        <v>152</v>
      </c>
      <c r="T254" s="22" t="s">
        <v>105</v>
      </c>
      <c r="U254" s="31"/>
      <c r="V254" s="24" t="s">
        <v>233</v>
      </c>
    </row>
    <row r="255" ht="14.25" spans="1:22">
      <c r="A255" s="21" t="s">
        <v>199</v>
      </c>
      <c r="B255" s="21" t="s">
        <v>748</v>
      </c>
      <c r="C255" s="22" t="s">
        <v>936</v>
      </c>
      <c r="D255" s="23" t="s">
        <v>937</v>
      </c>
      <c r="E255" s="21" t="s">
        <v>94</v>
      </c>
      <c r="F255" s="24"/>
      <c r="G255" s="22"/>
      <c r="H255" s="22" t="s">
        <v>748</v>
      </c>
      <c r="I255" s="22"/>
      <c r="J255" s="22"/>
      <c r="K255" s="24"/>
      <c r="L255" s="27" t="s">
        <v>848</v>
      </c>
      <c r="M255" s="28"/>
      <c r="N255" s="29"/>
      <c r="O255" s="30"/>
      <c r="P255" s="29"/>
      <c r="Q255" s="22" t="s">
        <v>103</v>
      </c>
      <c r="R255" s="22" t="s">
        <v>103</v>
      </c>
      <c r="S255" s="22" t="s">
        <v>152</v>
      </c>
      <c r="T255" s="22" t="s">
        <v>105</v>
      </c>
      <c r="U255" s="31"/>
      <c r="V255" s="24"/>
    </row>
    <row r="256" ht="14.25" spans="1:22">
      <c r="A256" s="21" t="s">
        <v>199</v>
      </c>
      <c r="B256" s="21" t="s">
        <v>748</v>
      </c>
      <c r="C256" s="22" t="s">
        <v>938</v>
      </c>
      <c r="D256" s="23" t="s">
        <v>939</v>
      </c>
      <c r="E256" s="21" t="s">
        <v>94</v>
      </c>
      <c r="F256" s="24"/>
      <c r="G256" s="22"/>
      <c r="H256" s="22" t="s">
        <v>748</v>
      </c>
      <c r="I256" s="22"/>
      <c r="J256" s="22"/>
      <c r="K256" s="24"/>
      <c r="L256" s="27">
        <v>1726</v>
      </c>
      <c r="M256" s="28">
        <v>0.06</v>
      </c>
      <c r="N256" s="29" t="s">
        <v>940</v>
      </c>
      <c r="O256" s="30">
        <v>1726</v>
      </c>
      <c r="P256" s="29" t="s">
        <v>940</v>
      </c>
      <c r="Q256" s="22" t="s">
        <v>103</v>
      </c>
      <c r="R256" s="22" t="s">
        <v>103</v>
      </c>
      <c r="S256" s="22" t="s">
        <v>152</v>
      </c>
      <c r="T256" s="22" t="s">
        <v>105</v>
      </c>
      <c r="U256" s="31"/>
      <c r="V256" s="24"/>
    </row>
    <row r="257" ht="14.25" spans="1:22">
      <c r="A257" s="21" t="s">
        <v>440</v>
      </c>
      <c r="B257" s="21" t="s">
        <v>441</v>
      </c>
      <c r="C257" s="22" t="s">
        <v>941</v>
      </c>
      <c r="D257" s="23" t="s">
        <v>942</v>
      </c>
      <c r="E257" s="21" t="s">
        <v>94</v>
      </c>
      <c r="F257" s="24"/>
      <c r="G257" s="22"/>
      <c r="H257" s="22" t="s">
        <v>943</v>
      </c>
      <c r="I257" s="22"/>
      <c r="J257" s="22"/>
      <c r="K257" s="24"/>
      <c r="L257" s="27">
        <v>1681</v>
      </c>
      <c r="M257" s="28">
        <v>0.06</v>
      </c>
      <c r="N257" s="29" t="s">
        <v>944</v>
      </c>
      <c r="O257" s="30" t="s">
        <v>945</v>
      </c>
      <c r="P257" s="29" t="s">
        <v>946</v>
      </c>
      <c r="Q257" s="22"/>
      <c r="R257" s="22"/>
      <c r="S257" s="22" t="s">
        <v>152</v>
      </c>
      <c r="T257" s="22" t="s">
        <v>105</v>
      </c>
      <c r="U257" s="31"/>
      <c r="V257" s="24"/>
    </row>
    <row r="258" ht="14.25" spans="1:22">
      <c r="A258" s="21" t="s">
        <v>440</v>
      </c>
      <c r="B258" s="21" t="s">
        <v>441</v>
      </c>
      <c r="C258" s="22" t="s">
        <v>947</v>
      </c>
      <c r="D258" s="23" t="s">
        <v>948</v>
      </c>
      <c r="E258" s="21" t="s">
        <v>94</v>
      </c>
      <c r="F258" s="24"/>
      <c r="G258" s="22"/>
      <c r="H258" s="22" t="s">
        <v>943</v>
      </c>
      <c r="I258" s="22"/>
      <c r="J258" s="22"/>
      <c r="K258" s="24"/>
      <c r="L258" s="27">
        <v>1681</v>
      </c>
      <c r="M258" s="28">
        <v>0.06</v>
      </c>
      <c r="N258" s="29" t="s">
        <v>944</v>
      </c>
      <c r="O258" s="30" t="s">
        <v>945</v>
      </c>
      <c r="P258" s="29" t="s">
        <v>946</v>
      </c>
      <c r="Q258" s="22"/>
      <c r="R258" s="22"/>
      <c r="S258" s="22" t="s">
        <v>152</v>
      </c>
      <c r="T258" s="22" t="s">
        <v>105</v>
      </c>
      <c r="U258" s="31"/>
      <c r="V258" s="24"/>
    </row>
    <row r="259" ht="14.25" spans="1:22">
      <c r="A259" s="21" t="s">
        <v>199</v>
      </c>
      <c r="B259" s="21" t="s">
        <v>748</v>
      </c>
      <c r="C259" s="22" t="s">
        <v>949</v>
      </c>
      <c r="D259" s="23" t="s">
        <v>950</v>
      </c>
      <c r="E259" s="21" t="s">
        <v>94</v>
      </c>
      <c r="F259" s="24"/>
      <c r="G259" s="22"/>
      <c r="H259" s="22"/>
      <c r="I259" s="22"/>
      <c r="J259" s="22"/>
      <c r="K259" s="24"/>
      <c r="L259" s="27">
        <v>1966</v>
      </c>
      <c r="M259" s="28">
        <v>0.06</v>
      </c>
      <c r="N259" s="29" t="s">
        <v>878</v>
      </c>
      <c r="O259" s="30" t="s">
        <v>951</v>
      </c>
      <c r="P259" s="29" t="s">
        <v>952</v>
      </c>
      <c r="Q259" s="22" t="s">
        <v>103</v>
      </c>
      <c r="R259" s="22" t="s">
        <v>103</v>
      </c>
      <c r="S259" s="22" t="s">
        <v>152</v>
      </c>
      <c r="T259" s="22" t="s">
        <v>105</v>
      </c>
      <c r="U259" s="31"/>
      <c r="V259" s="24"/>
    </row>
    <row r="260" ht="14.25" spans="1:22">
      <c r="A260" s="21" t="s">
        <v>336</v>
      </c>
      <c r="B260" s="21" t="s">
        <v>337</v>
      </c>
      <c r="C260" s="22" t="s">
        <v>953</v>
      </c>
      <c r="D260" s="23" t="s">
        <v>954</v>
      </c>
      <c r="E260" s="21" t="s">
        <v>103</v>
      </c>
      <c r="F260" s="24"/>
      <c r="G260" s="22"/>
      <c r="H260" s="22" t="s">
        <v>955</v>
      </c>
      <c r="I260" s="22"/>
      <c r="J260" s="22"/>
      <c r="K260" s="24"/>
      <c r="L260" s="27">
        <v>1799</v>
      </c>
      <c r="M260" s="28">
        <v>0.09</v>
      </c>
      <c r="N260" s="29" t="s">
        <v>956</v>
      </c>
      <c r="O260" s="30">
        <v>1799</v>
      </c>
      <c r="P260" s="29" t="s">
        <v>956</v>
      </c>
      <c r="Q260" s="22"/>
      <c r="R260" s="22" t="s">
        <v>103</v>
      </c>
      <c r="S260" s="22" t="s">
        <v>152</v>
      </c>
      <c r="T260" s="22" t="s">
        <v>105</v>
      </c>
      <c r="U260" s="31"/>
      <c r="V260" s="24"/>
    </row>
    <row r="261" ht="14.25" spans="1:22">
      <c r="A261" s="21" t="s">
        <v>336</v>
      </c>
      <c r="B261" s="21" t="s">
        <v>337</v>
      </c>
      <c r="C261" s="22" t="s">
        <v>957</v>
      </c>
      <c r="D261" s="23" t="s">
        <v>958</v>
      </c>
      <c r="E261" s="21" t="s">
        <v>103</v>
      </c>
      <c r="F261" s="24"/>
      <c r="G261" s="22"/>
      <c r="H261" s="22" t="s">
        <v>955</v>
      </c>
      <c r="I261" s="22"/>
      <c r="J261" s="22"/>
      <c r="K261" s="24"/>
      <c r="L261" s="27">
        <v>1799</v>
      </c>
      <c r="M261" s="28">
        <v>0.09</v>
      </c>
      <c r="N261" s="29" t="s">
        <v>956</v>
      </c>
      <c r="O261" s="30">
        <v>1799</v>
      </c>
      <c r="P261" s="29" t="s">
        <v>956</v>
      </c>
      <c r="Q261" s="22"/>
      <c r="R261" s="22" t="s">
        <v>103</v>
      </c>
      <c r="S261" s="22" t="s">
        <v>152</v>
      </c>
      <c r="T261" s="22" t="s">
        <v>105</v>
      </c>
      <c r="U261" s="31"/>
      <c r="V261" s="24"/>
    </row>
    <row r="262" ht="14.25" spans="1:22">
      <c r="A262" s="21" t="s">
        <v>336</v>
      </c>
      <c r="B262" s="21" t="s">
        <v>337</v>
      </c>
      <c r="C262" s="22" t="s">
        <v>959</v>
      </c>
      <c r="D262" s="23" t="s">
        <v>960</v>
      </c>
      <c r="E262" s="21" t="s">
        <v>103</v>
      </c>
      <c r="F262" s="24"/>
      <c r="G262" s="22"/>
      <c r="H262" s="22" t="s">
        <v>955</v>
      </c>
      <c r="I262" s="22"/>
      <c r="J262" s="22"/>
      <c r="K262" s="24"/>
      <c r="L262" s="27">
        <v>1799</v>
      </c>
      <c r="M262" s="28">
        <v>0.09</v>
      </c>
      <c r="N262" s="29" t="s">
        <v>956</v>
      </c>
      <c r="O262" s="30">
        <v>1799</v>
      </c>
      <c r="P262" s="29" t="s">
        <v>956</v>
      </c>
      <c r="Q262" s="22"/>
      <c r="R262" s="22" t="s">
        <v>103</v>
      </c>
      <c r="S262" s="22" t="s">
        <v>152</v>
      </c>
      <c r="T262" s="22" t="s">
        <v>105</v>
      </c>
      <c r="U262" s="31"/>
      <c r="V262" s="24"/>
    </row>
    <row r="263" ht="14.25" spans="1:22">
      <c r="A263" s="21" t="s">
        <v>199</v>
      </c>
      <c r="B263" s="21" t="s">
        <v>748</v>
      </c>
      <c r="C263" s="22" t="s">
        <v>961</v>
      </c>
      <c r="D263" s="23" t="s">
        <v>962</v>
      </c>
      <c r="E263" s="21" t="s">
        <v>103</v>
      </c>
      <c r="F263" s="24"/>
      <c r="G263" s="22"/>
      <c r="H263" s="22" t="s">
        <v>963</v>
      </c>
      <c r="I263" s="22"/>
      <c r="J263" s="22"/>
      <c r="K263" s="24"/>
      <c r="L263" s="27">
        <v>1966</v>
      </c>
      <c r="M263" s="28">
        <v>0.06</v>
      </c>
      <c r="N263" s="29" t="s">
        <v>878</v>
      </c>
      <c r="O263" s="30">
        <v>1966</v>
      </c>
      <c r="P263" s="29" t="s">
        <v>878</v>
      </c>
      <c r="Q263" s="22" t="s">
        <v>103</v>
      </c>
      <c r="R263" s="22" t="s">
        <v>103</v>
      </c>
      <c r="S263" s="22" t="s">
        <v>152</v>
      </c>
      <c r="T263" s="22" t="s">
        <v>105</v>
      </c>
      <c r="U263" s="31"/>
      <c r="V263" s="24"/>
    </row>
    <row r="264" ht="14.25" spans="1:22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5"/>
      <c r="L264" s="36">
        <v>1002</v>
      </c>
      <c r="M264" s="37">
        <v>0.06</v>
      </c>
      <c r="N264" s="38" t="s">
        <v>964</v>
      </c>
      <c r="O264" s="33"/>
      <c r="P264" s="35"/>
      <c r="Q264" s="39"/>
      <c r="R264" s="39"/>
      <c r="S264" s="33"/>
      <c r="T264" s="33"/>
      <c r="U264" s="33"/>
      <c r="V264" s="33"/>
    </row>
    <row r="265" ht="18" customHeight="1" spans="1:22">
      <c r="A265" s="34" t="s">
        <v>965</v>
      </c>
      <c r="B265" s="33"/>
      <c r="C265" s="33"/>
      <c r="D265" s="33"/>
      <c r="E265" s="33"/>
      <c r="F265" s="33"/>
      <c r="G265" s="33"/>
      <c r="H265" s="33"/>
      <c r="I265" s="33"/>
      <c r="J265" s="33"/>
      <c r="K265" s="35"/>
      <c r="L265" s="36">
        <v>1105</v>
      </c>
      <c r="M265" s="37">
        <v>0.06</v>
      </c>
      <c r="N265" s="38" t="s">
        <v>966</v>
      </c>
      <c r="O265" s="33"/>
      <c r="P265" s="35"/>
      <c r="Q265" s="39"/>
      <c r="R265" s="39"/>
      <c r="S265" s="33"/>
      <c r="T265" s="33"/>
      <c r="U265" s="33"/>
      <c r="V265" s="33"/>
    </row>
    <row r="266" ht="15.75" customHeight="1" spans="1:22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5"/>
      <c r="L266" s="36">
        <v>1106</v>
      </c>
      <c r="M266" s="37">
        <v>0.06</v>
      </c>
      <c r="N266" s="38" t="s">
        <v>967</v>
      </c>
      <c r="O266" s="33"/>
      <c r="P266" s="35"/>
      <c r="Q266" s="39"/>
      <c r="R266" s="39"/>
      <c r="S266" s="33"/>
      <c r="T266" s="33"/>
      <c r="U266" s="33"/>
      <c r="V266" s="33"/>
    </row>
    <row r="267" ht="14.25" spans="1:22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5"/>
      <c r="L267" s="36">
        <v>1107</v>
      </c>
      <c r="M267" s="37">
        <v>0.06</v>
      </c>
      <c r="N267" s="38" t="s">
        <v>968</v>
      </c>
      <c r="O267" s="33"/>
      <c r="P267" s="35"/>
      <c r="Q267" s="39"/>
      <c r="R267" s="39"/>
      <c r="S267" s="33"/>
      <c r="T267" s="33"/>
      <c r="U267" s="33"/>
      <c r="V267" s="33"/>
    </row>
    <row r="268" ht="14.25" spans="1:22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5"/>
      <c r="L268" s="36">
        <v>1115</v>
      </c>
      <c r="M268" s="37">
        <v>0.06</v>
      </c>
      <c r="N268" s="38" t="s">
        <v>969</v>
      </c>
      <c r="O268" s="33"/>
      <c r="P268" s="35"/>
      <c r="Q268" s="39"/>
      <c r="R268" s="39"/>
      <c r="S268" s="33"/>
      <c r="T268" s="33"/>
      <c r="U268" s="33"/>
      <c r="V268" s="33"/>
    </row>
    <row r="269" ht="14.25" spans="1:22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5"/>
      <c r="L269" s="36">
        <v>1118</v>
      </c>
      <c r="M269" s="37">
        <v>0.06</v>
      </c>
      <c r="N269" s="38" t="s">
        <v>970</v>
      </c>
      <c r="O269" s="33"/>
      <c r="P269" s="35"/>
      <c r="Q269" s="39"/>
      <c r="R269" s="39"/>
      <c r="S269" s="33"/>
      <c r="T269" s="33"/>
      <c r="U269" s="33"/>
      <c r="V269" s="33"/>
    </row>
    <row r="270" ht="14.25" spans="1:22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5"/>
      <c r="L270" s="36">
        <v>1153</v>
      </c>
      <c r="M270" s="37">
        <v>0.06</v>
      </c>
      <c r="N270" s="38" t="s">
        <v>971</v>
      </c>
      <c r="O270" s="33"/>
      <c r="P270" s="35"/>
      <c r="Q270" s="39"/>
      <c r="R270" s="39"/>
      <c r="S270" s="33"/>
      <c r="T270" s="33"/>
      <c r="U270" s="33"/>
      <c r="V270" s="33"/>
    </row>
    <row r="271" ht="14.25" spans="1:22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5"/>
      <c r="L271" s="36">
        <v>1204</v>
      </c>
      <c r="M271" s="37" t="s">
        <v>184</v>
      </c>
      <c r="N271" s="38" t="s">
        <v>972</v>
      </c>
      <c r="O271" s="33"/>
      <c r="P271" s="35"/>
      <c r="Q271" s="39"/>
      <c r="R271" s="39"/>
      <c r="S271" s="33"/>
      <c r="T271" s="33"/>
      <c r="U271" s="33"/>
      <c r="V271" s="33"/>
    </row>
    <row r="272" ht="14.25" spans="1:2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5"/>
      <c r="L272" s="36">
        <v>1205</v>
      </c>
      <c r="M272" s="37">
        <v>0.09</v>
      </c>
      <c r="N272" s="38" t="s">
        <v>973</v>
      </c>
      <c r="O272" s="33"/>
      <c r="P272" s="35"/>
      <c r="Q272" s="39"/>
      <c r="R272" s="39"/>
      <c r="S272" s="33"/>
      <c r="T272" s="33"/>
      <c r="U272" s="33"/>
      <c r="V272" s="33"/>
    </row>
    <row r="273" ht="14.25" spans="1:22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5"/>
      <c r="L273" s="36">
        <v>1206</v>
      </c>
      <c r="M273" s="37">
        <v>0.09</v>
      </c>
      <c r="N273" s="38" t="s">
        <v>974</v>
      </c>
      <c r="O273" s="33"/>
      <c r="P273" s="35"/>
      <c r="Q273" s="39"/>
      <c r="R273" s="39"/>
      <c r="S273" s="33"/>
      <c r="T273" s="33"/>
      <c r="U273" s="33"/>
      <c r="V273" s="33"/>
    </row>
    <row r="274" ht="14.25" spans="1:22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5"/>
      <c r="L274" s="36">
        <v>1208</v>
      </c>
      <c r="M274" s="37">
        <v>0.06</v>
      </c>
      <c r="N274" s="38" t="s">
        <v>975</v>
      </c>
      <c r="O274" s="33"/>
      <c r="P274" s="35"/>
      <c r="Q274" s="39"/>
      <c r="R274" s="39"/>
      <c r="S274" s="33"/>
      <c r="T274" s="33"/>
      <c r="U274" s="33"/>
      <c r="V274" s="33"/>
    </row>
    <row r="275" ht="14.25" spans="1:22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5"/>
      <c r="L275" s="36">
        <v>1223</v>
      </c>
      <c r="M275" s="37">
        <v>0.06</v>
      </c>
      <c r="N275" s="38" t="s">
        <v>976</v>
      </c>
      <c r="O275" s="33"/>
      <c r="P275" s="35"/>
      <c r="Q275" s="39"/>
      <c r="R275" s="39"/>
      <c r="S275" s="33"/>
      <c r="T275" s="33"/>
      <c r="U275" s="33"/>
      <c r="V275" s="33"/>
    </row>
    <row r="276" ht="14.25" spans="1:22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5"/>
      <c r="L276" s="36">
        <v>1290</v>
      </c>
      <c r="M276" s="37">
        <v>0.06</v>
      </c>
      <c r="N276" s="38" t="s">
        <v>977</v>
      </c>
      <c r="O276" s="33"/>
      <c r="P276" s="35"/>
      <c r="Q276" s="39"/>
      <c r="R276" s="39"/>
      <c r="S276" s="33"/>
      <c r="T276" s="33"/>
      <c r="U276" s="33"/>
      <c r="V276" s="33"/>
    </row>
    <row r="277" ht="14.25" spans="1:22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5"/>
      <c r="L277" s="36">
        <v>1299</v>
      </c>
      <c r="M277" s="37">
        <v>0.06</v>
      </c>
      <c r="N277" s="38" t="s">
        <v>978</v>
      </c>
      <c r="O277" s="33"/>
      <c r="P277" s="35"/>
      <c r="Q277" s="39"/>
      <c r="R277" s="39"/>
      <c r="S277" s="33"/>
      <c r="T277" s="33"/>
      <c r="U277" s="33"/>
      <c r="V277" s="33"/>
    </row>
    <row r="278" ht="14.25" spans="1:22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5"/>
      <c r="L278" s="36">
        <v>1313</v>
      </c>
      <c r="M278" s="37">
        <v>0.06</v>
      </c>
      <c r="N278" s="38" t="s">
        <v>979</v>
      </c>
      <c r="O278" s="33"/>
      <c r="P278" s="35"/>
      <c r="Q278" s="39"/>
      <c r="R278" s="39"/>
      <c r="S278" s="33"/>
      <c r="T278" s="33"/>
      <c r="U278" s="33"/>
      <c r="V278" s="33"/>
    </row>
    <row r="279" ht="14.25" spans="1:22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5"/>
      <c r="L279" s="36">
        <v>1315</v>
      </c>
      <c r="M279" s="37">
        <v>0.06</v>
      </c>
      <c r="N279" s="38" t="s">
        <v>980</v>
      </c>
      <c r="O279" s="33"/>
      <c r="P279" s="35"/>
      <c r="Q279" s="39"/>
      <c r="R279" s="39"/>
      <c r="S279" s="33"/>
      <c r="T279" s="33"/>
      <c r="U279" s="33"/>
      <c r="V279" s="33"/>
    </row>
    <row r="280" ht="14.25" spans="1:22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5"/>
      <c r="L280" s="36">
        <v>1316</v>
      </c>
      <c r="M280" s="37">
        <v>0.06</v>
      </c>
      <c r="N280" s="38" t="s">
        <v>981</v>
      </c>
      <c r="O280" s="33"/>
      <c r="P280" s="35"/>
      <c r="Q280" s="39"/>
      <c r="R280" s="39"/>
      <c r="S280" s="33"/>
      <c r="T280" s="33"/>
      <c r="U280" s="33"/>
      <c r="V280" s="33"/>
    </row>
    <row r="281" ht="14.25" spans="1:22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5"/>
      <c r="L281" s="36">
        <v>1324</v>
      </c>
      <c r="M281" s="37">
        <v>0.06</v>
      </c>
      <c r="N281" s="38" t="s">
        <v>982</v>
      </c>
      <c r="O281" s="33"/>
      <c r="P281" s="35"/>
      <c r="Q281" s="39"/>
      <c r="R281" s="39"/>
      <c r="S281" s="33"/>
      <c r="T281" s="33"/>
      <c r="U281" s="33"/>
      <c r="V281" s="33"/>
    </row>
    <row r="282" ht="14.25" spans="1:2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5"/>
      <c r="L282" s="36">
        <v>1327</v>
      </c>
      <c r="M282" s="37">
        <v>0.06</v>
      </c>
      <c r="N282" s="38" t="s">
        <v>983</v>
      </c>
      <c r="O282" s="33"/>
      <c r="P282" s="35"/>
      <c r="Q282" s="39"/>
      <c r="R282" s="39"/>
      <c r="S282" s="33"/>
      <c r="T282" s="33"/>
      <c r="U282" s="33"/>
      <c r="V282" s="33"/>
    </row>
    <row r="283" ht="14.25" spans="1:22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5"/>
      <c r="L283" s="36">
        <v>1328</v>
      </c>
      <c r="M283" s="37">
        <v>0.06</v>
      </c>
      <c r="N283" s="38" t="s">
        <v>984</v>
      </c>
      <c r="O283" s="33"/>
      <c r="P283" s="35"/>
      <c r="Q283" s="39"/>
      <c r="R283" s="39"/>
      <c r="S283" s="33"/>
      <c r="T283" s="33"/>
      <c r="U283" s="33"/>
      <c r="V283" s="33"/>
    </row>
    <row r="284" ht="14.25" spans="1:22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5"/>
      <c r="L284" s="36">
        <v>1358</v>
      </c>
      <c r="M284" s="37">
        <v>0.06</v>
      </c>
      <c r="N284" s="38" t="s">
        <v>985</v>
      </c>
      <c r="O284" s="33"/>
      <c r="P284" s="35"/>
      <c r="Q284" s="39"/>
      <c r="R284" s="39"/>
      <c r="S284" s="33"/>
      <c r="T284" s="33"/>
      <c r="U284" s="33"/>
      <c r="V284" s="33"/>
    </row>
    <row r="285" ht="14.25" spans="1:22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5"/>
      <c r="L285" s="36">
        <v>1365</v>
      </c>
      <c r="M285" s="37">
        <v>0.06</v>
      </c>
      <c r="N285" s="38" t="s">
        <v>986</v>
      </c>
      <c r="O285" s="33"/>
      <c r="P285" s="35"/>
      <c r="Q285" s="39"/>
      <c r="R285" s="39"/>
      <c r="S285" s="33"/>
      <c r="T285" s="33"/>
      <c r="U285" s="33"/>
      <c r="V285" s="33"/>
    </row>
    <row r="286" ht="14.25" spans="1:22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5"/>
      <c r="L286" s="36">
        <v>1372</v>
      </c>
      <c r="M286" s="37">
        <v>0.06</v>
      </c>
      <c r="N286" s="38" t="s">
        <v>987</v>
      </c>
      <c r="O286" s="33"/>
      <c r="P286" s="35"/>
      <c r="Q286" s="39"/>
      <c r="R286" s="39"/>
      <c r="S286" s="33"/>
      <c r="T286" s="33"/>
      <c r="U286" s="33"/>
      <c r="V286" s="33"/>
    </row>
    <row r="287" ht="14.25" spans="1:22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5"/>
      <c r="L287" s="36">
        <v>1382</v>
      </c>
      <c r="M287" s="37">
        <v>0.06</v>
      </c>
      <c r="N287" s="38" t="s">
        <v>988</v>
      </c>
      <c r="O287" s="33"/>
      <c r="P287" s="35"/>
      <c r="Q287" s="39"/>
      <c r="R287" s="39"/>
      <c r="S287" s="33"/>
      <c r="T287" s="33"/>
      <c r="U287" s="33"/>
      <c r="V287" s="33"/>
    </row>
    <row r="288" ht="14.25" spans="1:22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5"/>
      <c r="L288" s="36">
        <v>1394</v>
      </c>
      <c r="M288" s="37">
        <v>0.06</v>
      </c>
      <c r="N288" s="38" t="s">
        <v>989</v>
      </c>
      <c r="O288" s="33"/>
      <c r="P288" s="35"/>
      <c r="Q288" s="39"/>
      <c r="R288" s="39"/>
      <c r="S288" s="33"/>
      <c r="T288" s="33"/>
      <c r="U288" s="33"/>
      <c r="V288" s="33"/>
    </row>
    <row r="289" ht="14.25" spans="1:22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5"/>
      <c r="L289" s="36">
        <v>1395</v>
      </c>
      <c r="M289" s="37">
        <v>0.06</v>
      </c>
      <c r="N289" s="38" t="s">
        <v>990</v>
      </c>
      <c r="O289" s="33"/>
      <c r="P289" s="35"/>
      <c r="Q289" s="39"/>
      <c r="R289" s="39"/>
      <c r="S289" s="33"/>
      <c r="T289" s="33"/>
      <c r="U289" s="33"/>
      <c r="V289" s="33"/>
    </row>
    <row r="290" ht="14.25" spans="1:22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5"/>
      <c r="L290" s="36">
        <v>1405</v>
      </c>
      <c r="M290" s="37">
        <v>0.13</v>
      </c>
      <c r="N290" s="38" t="s">
        <v>991</v>
      </c>
      <c r="O290" s="33"/>
      <c r="P290" s="35"/>
      <c r="Q290" s="39"/>
      <c r="R290" s="39"/>
      <c r="S290" s="33"/>
      <c r="T290" s="33"/>
      <c r="U290" s="33"/>
      <c r="V290" s="33"/>
    </row>
    <row r="291" ht="14.25" spans="1:22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5"/>
      <c r="L291" s="36">
        <v>1408</v>
      </c>
      <c r="M291" s="37" t="s">
        <v>184</v>
      </c>
      <c r="N291" s="38" t="s">
        <v>992</v>
      </c>
      <c r="O291" s="33"/>
      <c r="P291" s="35"/>
      <c r="Q291" s="39"/>
      <c r="R291" s="39"/>
      <c r="S291" s="33"/>
      <c r="T291" s="33"/>
      <c r="U291" s="33"/>
      <c r="V291" s="33"/>
    </row>
    <row r="292" ht="14.25" spans="1:2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5"/>
      <c r="L292" s="36">
        <v>1409</v>
      </c>
      <c r="M292" s="37">
        <v>0.09</v>
      </c>
      <c r="N292" s="38" t="s">
        <v>993</v>
      </c>
      <c r="O292" s="33"/>
      <c r="P292" s="35"/>
      <c r="Q292" s="39"/>
      <c r="R292" s="39"/>
      <c r="S292" s="33"/>
      <c r="T292" s="33"/>
      <c r="U292" s="33"/>
      <c r="V292" s="33"/>
    </row>
    <row r="293" ht="14.25" spans="1:22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5"/>
      <c r="L293" s="36">
        <v>1410</v>
      </c>
      <c r="M293" s="37">
        <v>0.09</v>
      </c>
      <c r="N293" s="38" t="s">
        <v>994</v>
      </c>
      <c r="O293" s="33"/>
      <c r="P293" s="35"/>
      <c r="Q293" s="39"/>
      <c r="R293" s="39"/>
      <c r="S293" s="33"/>
      <c r="T293" s="33"/>
      <c r="U293" s="33"/>
      <c r="V293" s="33"/>
    </row>
    <row r="294" ht="14.25" spans="1:22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5"/>
      <c r="L294" s="36">
        <v>1411</v>
      </c>
      <c r="M294" s="37">
        <v>0.09</v>
      </c>
      <c r="N294" s="38" t="s">
        <v>995</v>
      </c>
      <c r="O294" s="33"/>
      <c r="P294" s="35"/>
      <c r="Q294" s="39"/>
      <c r="R294" s="39"/>
      <c r="S294" s="33"/>
      <c r="T294" s="33"/>
      <c r="U294" s="33"/>
      <c r="V294" s="33"/>
    </row>
    <row r="295" ht="14.25" spans="1:22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5"/>
      <c r="L295" s="36">
        <v>1412</v>
      </c>
      <c r="M295" s="37">
        <v>0.09</v>
      </c>
      <c r="N295" s="38" t="s">
        <v>996</v>
      </c>
      <c r="O295" s="33"/>
      <c r="P295" s="35"/>
      <c r="Q295" s="39"/>
      <c r="R295" s="39"/>
      <c r="S295" s="33"/>
      <c r="T295" s="33"/>
      <c r="U295" s="33"/>
      <c r="V295" s="33"/>
    </row>
    <row r="296" ht="14.25" spans="1:22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5"/>
      <c r="L296" s="36">
        <v>1413</v>
      </c>
      <c r="M296" s="37">
        <v>0.06</v>
      </c>
      <c r="N296" s="38" t="s">
        <v>997</v>
      </c>
      <c r="O296" s="33"/>
      <c r="P296" s="35"/>
      <c r="Q296" s="39"/>
      <c r="R296" s="39"/>
      <c r="S296" s="33"/>
      <c r="T296" s="33"/>
      <c r="U296" s="33"/>
      <c r="V296" s="33"/>
    </row>
    <row r="297" ht="14.25" spans="1:22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5"/>
      <c r="L297" s="36">
        <v>1417</v>
      </c>
      <c r="M297" s="37">
        <v>0.06</v>
      </c>
      <c r="N297" s="38" t="s">
        <v>998</v>
      </c>
      <c r="O297" s="33"/>
      <c r="P297" s="35"/>
      <c r="Q297" s="39"/>
      <c r="R297" s="39"/>
      <c r="S297" s="33"/>
      <c r="T297" s="33"/>
      <c r="U297" s="33"/>
      <c r="V297" s="33"/>
    </row>
    <row r="298" ht="14.25" spans="1:22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5"/>
      <c r="L298" s="36">
        <v>1418</v>
      </c>
      <c r="M298" s="37">
        <v>0.06</v>
      </c>
      <c r="N298" s="38" t="s">
        <v>999</v>
      </c>
      <c r="O298" s="33"/>
      <c r="P298" s="35"/>
      <c r="Q298" s="39"/>
      <c r="R298" s="39"/>
      <c r="S298" s="33"/>
      <c r="T298" s="33"/>
      <c r="U298" s="33"/>
      <c r="V298" s="33"/>
    </row>
    <row r="299" ht="14.25" spans="1:22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5"/>
      <c r="L299" s="36">
        <v>1419</v>
      </c>
      <c r="M299" s="37">
        <v>0.06</v>
      </c>
      <c r="N299" s="38" t="s">
        <v>1000</v>
      </c>
      <c r="O299" s="33"/>
      <c r="P299" s="35"/>
      <c r="Q299" s="39"/>
      <c r="R299" s="39"/>
      <c r="S299" s="33"/>
      <c r="T299" s="33"/>
      <c r="U299" s="33"/>
      <c r="V299" s="33"/>
    </row>
    <row r="300" ht="14.25" spans="1:22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5"/>
      <c r="L300" s="36">
        <v>1420</v>
      </c>
      <c r="M300" s="37">
        <v>0.06</v>
      </c>
      <c r="N300" s="38" t="s">
        <v>1001</v>
      </c>
      <c r="O300" s="33"/>
      <c r="P300" s="35"/>
      <c r="Q300" s="39"/>
      <c r="R300" s="39"/>
      <c r="S300" s="33"/>
      <c r="T300" s="33"/>
      <c r="U300" s="33"/>
      <c r="V300" s="33"/>
    </row>
    <row r="301" ht="14.25" spans="1:22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5"/>
      <c r="L301" s="36">
        <v>1546</v>
      </c>
      <c r="M301" s="37">
        <v>0.09</v>
      </c>
      <c r="N301" s="38" t="s">
        <v>1002</v>
      </c>
      <c r="O301" s="33"/>
      <c r="P301" s="35"/>
      <c r="Q301" s="39"/>
      <c r="R301" s="39"/>
      <c r="S301" s="33"/>
      <c r="T301" s="33"/>
      <c r="U301" s="33"/>
      <c r="V301" s="33"/>
    </row>
    <row r="302" ht="14.25" spans="1:2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5"/>
      <c r="L302" s="36">
        <v>1547</v>
      </c>
      <c r="M302" s="37">
        <v>0.09</v>
      </c>
      <c r="N302" s="38" t="s">
        <v>1003</v>
      </c>
      <c r="O302" s="33"/>
      <c r="P302" s="35"/>
      <c r="Q302" s="39"/>
      <c r="R302" s="39"/>
      <c r="S302" s="33"/>
      <c r="T302" s="33"/>
      <c r="U302" s="33"/>
      <c r="V302" s="33"/>
    </row>
    <row r="303" ht="14.25" spans="1:22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5"/>
      <c r="L303" s="36">
        <v>1554</v>
      </c>
      <c r="M303" s="37">
        <v>0.09</v>
      </c>
      <c r="N303" s="38" t="s">
        <v>1004</v>
      </c>
      <c r="O303" s="33"/>
      <c r="P303" s="35"/>
      <c r="Q303" s="39"/>
      <c r="R303" s="39"/>
      <c r="S303" s="33"/>
      <c r="T303" s="33"/>
      <c r="U303" s="33"/>
      <c r="V303" s="33"/>
    </row>
    <row r="304" ht="14.25" spans="1:22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5"/>
      <c r="L304" s="36">
        <v>1643</v>
      </c>
      <c r="M304" s="37">
        <v>0.06</v>
      </c>
      <c r="N304" s="38" t="s">
        <v>1005</v>
      </c>
      <c r="O304" s="33"/>
      <c r="P304" s="35"/>
      <c r="Q304" s="39"/>
      <c r="R304" s="39"/>
      <c r="S304" s="33"/>
      <c r="T304" s="33"/>
      <c r="U304" s="33"/>
      <c r="V304" s="33"/>
    </row>
    <row r="305" ht="14.25" spans="1:22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5"/>
      <c r="L305" s="36">
        <v>1657</v>
      </c>
      <c r="M305" s="37">
        <v>0.06</v>
      </c>
      <c r="N305" s="38" t="s">
        <v>1006</v>
      </c>
      <c r="O305" s="33"/>
      <c r="P305" s="35"/>
      <c r="Q305" s="39"/>
      <c r="R305" s="39"/>
      <c r="S305" s="33"/>
      <c r="T305" s="33"/>
      <c r="U305" s="33"/>
      <c r="V305" s="33"/>
    </row>
    <row r="306" ht="14.25" spans="1:22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5"/>
      <c r="L306" s="36">
        <v>1658</v>
      </c>
      <c r="M306" s="37">
        <v>0.06</v>
      </c>
      <c r="N306" s="38" t="s">
        <v>1007</v>
      </c>
      <c r="O306" s="33"/>
      <c r="P306" s="35"/>
      <c r="Q306" s="39"/>
      <c r="R306" s="39"/>
      <c r="S306" s="33"/>
      <c r="T306" s="33"/>
      <c r="U306" s="33"/>
      <c r="V306" s="33"/>
    </row>
    <row r="307" ht="14.25" spans="1:22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5"/>
      <c r="L307" s="36">
        <v>1660</v>
      </c>
      <c r="M307" s="37">
        <v>0.06</v>
      </c>
      <c r="N307" s="38" t="s">
        <v>1008</v>
      </c>
      <c r="O307" s="33"/>
      <c r="P307" s="35"/>
      <c r="Q307" s="39"/>
      <c r="R307" s="39"/>
      <c r="S307" s="33"/>
      <c r="T307" s="33"/>
      <c r="U307" s="33"/>
      <c r="V307" s="33"/>
    </row>
    <row r="308" ht="14.25" spans="1:22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5"/>
      <c r="L308" s="36">
        <v>1661</v>
      </c>
      <c r="M308" s="37">
        <v>0.06</v>
      </c>
      <c r="N308" s="38" t="s">
        <v>1009</v>
      </c>
      <c r="O308" s="33"/>
      <c r="P308" s="35"/>
      <c r="Q308" s="39"/>
      <c r="R308" s="39"/>
      <c r="S308" s="33"/>
      <c r="T308" s="33"/>
      <c r="U308" s="33"/>
      <c r="V308" s="33"/>
    </row>
    <row r="309" ht="14.25" spans="1:22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5"/>
      <c r="L309" s="36">
        <v>1673</v>
      </c>
      <c r="M309" s="37">
        <v>0.06</v>
      </c>
      <c r="N309" s="38" t="s">
        <v>1010</v>
      </c>
      <c r="O309" s="33"/>
      <c r="P309" s="35"/>
      <c r="Q309" s="39"/>
      <c r="R309" s="39"/>
      <c r="S309" s="33"/>
      <c r="T309" s="33"/>
      <c r="U309" s="33"/>
      <c r="V309" s="33"/>
    </row>
    <row r="310" ht="14.25" spans="1:22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5"/>
      <c r="L310" s="36">
        <v>1674</v>
      </c>
      <c r="M310" s="37">
        <v>0.06</v>
      </c>
      <c r="N310" s="38" t="s">
        <v>1011</v>
      </c>
      <c r="O310" s="33"/>
      <c r="P310" s="35"/>
      <c r="Q310" s="39"/>
      <c r="R310" s="39"/>
      <c r="S310" s="33"/>
      <c r="T310" s="33"/>
      <c r="U310" s="33"/>
      <c r="V310" s="33"/>
    </row>
    <row r="311" ht="14.25" spans="1:22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5"/>
      <c r="L311" s="36">
        <v>1676</v>
      </c>
      <c r="M311" s="37">
        <v>0.06</v>
      </c>
      <c r="N311" s="38" t="s">
        <v>1012</v>
      </c>
      <c r="O311" s="33"/>
      <c r="P311" s="35"/>
      <c r="Q311" s="39"/>
      <c r="R311" s="39"/>
      <c r="S311" s="33"/>
      <c r="T311" s="33"/>
      <c r="U311" s="33"/>
      <c r="V311" s="33"/>
    </row>
    <row r="312" ht="14.25" spans="1:2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5"/>
      <c r="L312" s="36">
        <v>1677</v>
      </c>
      <c r="M312" s="37">
        <v>0.06</v>
      </c>
      <c r="N312" s="38" t="s">
        <v>1013</v>
      </c>
      <c r="O312" s="33"/>
      <c r="P312" s="35"/>
      <c r="Q312" s="39"/>
      <c r="R312" s="39"/>
      <c r="S312" s="33"/>
      <c r="T312" s="33"/>
      <c r="U312" s="33"/>
      <c r="V312" s="33"/>
    </row>
    <row r="313" ht="14.25" spans="1:22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5"/>
      <c r="L313" s="36">
        <v>1717</v>
      </c>
      <c r="M313" s="37">
        <v>0.06</v>
      </c>
      <c r="N313" s="38" t="s">
        <v>1014</v>
      </c>
      <c r="O313" s="33"/>
      <c r="P313" s="35"/>
      <c r="Q313" s="39"/>
      <c r="R313" s="39"/>
      <c r="S313" s="33"/>
      <c r="T313" s="33"/>
      <c r="U313" s="33"/>
      <c r="V313" s="33"/>
    </row>
    <row r="314" ht="14.25" spans="1:22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5"/>
      <c r="L314" s="36">
        <v>1718</v>
      </c>
      <c r="M314" s="37">
        <v>0.06</v>
      </c>
      <c r="N314" s="38" t="s">
        <v>1015</v>
      </c>
      <c r="O314" s="33"/>
      <c r="P314" s="35"/>
      <c r="Q314" s="39"/>
      <c r="R314" s="39"/>
      <c r="S314" s="33"/>
      <c r="T314" s="33"/>
      <c r="U314" s="33"/>
      <c r="V314" s="33"/>
    </row>
    <row r="315" ht="14.25" spans="1:22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5"/>
      <c r="L315" s="36">
        <v>1724</v>
      </c>
      <c r="M315" s="37">
        <v>0.06</v>
      </c>
      <c r="N315" s="38" t="s">
        <v>1016</v>
      </c>
      <c r="O315" s="33"/>
      <c r="P315" s="35"/>
      <c r="Q315" s="39"/>
      <c r="R315" s="39"/>
      <c r="S315" s="33"/>
      <c r="T315" s="33"/>
      <c r="U315" s="33"/>
      <c r="V315" s="33"/>
    </row>
    <row r="316" ht="14.25" spans="1:22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5"/>
      <c r="L316" s="36">
        <v>1727</v>
      </c>
      <c r="M316" s="37">
        <v>0.06</v>
      </c>
      <c r="N316" s="38" t="s">
        <v>1017</v>
      </c>
      <c r="O316" s="33"/>
      <c r="P316" s="35"/>
      <c r="Q316" s="39"/>
      <c r="R316" s="39"/>
      <c r="S316" s="33"/>
      <c r="T316" s="33"/>
      <c r="U316" s="33"/>
      <c r="V316" s="33"/>
    </row>
    <row r="317" ht="14.25" spans="1:22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5"/>
      <c r="L317" s="36">
        <v>1740</v>
      </c>
      <c r="M317" s="37">
        <v>0.13</v>
      </c>
      <c r="N317" s="38" t="s">
        <v>1018</v>
      </c>
      <c r="O317" s="33"/>
      <c r="P317" s="35"/>
      <c r="Q317" s="39"/>
      <c r="R317" s="39"/>
      <c r="S317" s="33"/>
      <c r="T317" s="33"/>
      <c r="U317" s="33"/>
      <c r="V317" s="33"/>
    </row>
    <row r="318" ht="14.25" spans="1:22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5"/>
      <c r="L318" s="36">
        <v>1741</v>
      </c>
      <c r="M318" s="37">
        <v>0.13</v>
      </c>
      <c r="N318" s="38" t="s">
        <v>1019</v>
      </c>
      <c r="O318" s="33"/>
      <c r="P318" s="35"/>
      <c r="Q318" s="39"/>
      <c r="R318" s="39"/>
      <c r="S318" s="33"/>
      <c r="T318" s="33"/>
      <c r="U318" s="33"/>
      <c r="V318" s="33"/>
    </row>
    <row r="319" ht="14.25" spans="1:22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5"/>
      <c r="L319" s="36">
        <v>1743</v>
      </c>
      <c r="M319" s="37">
        <v>0.13</v>
      </c>
      <c r="N319" s="38" t="s">
        <v>1020</v>
      </c>
      <c r="O319" s="33"/>
      <c r="P319" s="35"/>
      <c r="Q319" s="39"/>
      <c r="R319" s="39"/>
      <c r="S319" s="33"/>
      <c r="T319" s="33"/>
      <c r="U319" s="33"/>
      <c r="V319" s="33"/>
    </row>
    <row r="320" ht="14.25" spans="1:22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5"/>
      <c r="L320" s="36">
        <v>1744</v>
      </c>
      <c r="M320" s="37">
        <v>0.13</v>
      </c>
      <c r="N320" s="38" t="s">
        <v>1021</v>
      </c>
      <c r="O320" s="33"/>
      <c r="P320" s="35"/>
      <c r="Q320" s="39"/>
      <c r="R320" s="39"/>
      <c r="S320" s="33"/>
      <c r="T320" s="33"/>
      <c r="U320" s="33"/>
      <c r="V320" s="33"/>
    </row>
    <row r="321" ht="14.25" spans="1:22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5"/>
      <c r="L321" s="36">
        <v>1747</v>
      </c>
      <c r="M321" s="37">
        <v>0.13</v>
      </c>
      <c r="N321" s="38" t="s">
        <v>1022</v>
      </c>
      <c r="O321" s="33"/>
      <c r="P321" s="35"/>
      <c r="Q321" s="39"/>
      <c r="R321" s="39"/>
      <c r="S321" s="33"/>
      <c r="T321" s="33"/>
      <c r="U321" s="33"/>
      <c r="V321" s="33"/>
    </row>
    <row r="322" ht="14.25" spans="1: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5"/>
      <c r="L322" s="36">
        <v>1750</v>
      </c>
      <c r="M322" s="37">
        <v>0.09</v>
      </c>
      <c r="N322" s="38" t="s">
        <v>1023</v>
      </c>
      <c r="O322" s="33"/>
      <c r="P322" s="35"/>
      <c r="Q322" s="39"/>
      <c r="R322" s="39"/>
      <c r="S322" s="33"/>
      <c r="T322" s="33"/>
      <c r="U322" s="33"/>
      <c r="V322" s="33"/>
    </row>
    <row r="323" ht="14.25" spans="1:22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5"/>
      <c r="L323" s="36">
        <v>1751</v>
      </c>
      <c r="M323" s="37">
        <v>0.09</v>
      </c>
      <c r="N323" s="38" t="s">
        <v>1024</v>
      </c>
      <c r="O323" s="33"/>
      <c r="P323" s="35"/>
      <c r="Q323" s="39"/>
      <c r="R323" s="39"/>
      <c r="S323" s="33"/>
      <c r="T323" s="33"/>
      <c r="U323" s="33"/>
      <c r="V323" s="33"/>
    </row>
    <row r="324" ht="14.25" spans="1:22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5"/>
      <c r="L324" s="36">
        <v>1761</v>
      </c>
      <c r="M324" s="37" t="s">
        <v>1025</v>
      </c>
      <c r="N324" s="38" t="s">
        <v>1026</v>
      </c>
      <c r="O324" s="33"/>
      <c r="P324" s="35"/>
      <c r="Q324" s="39"/>
      <c r="R324" s="39"/>
      <c r="S324" s="33"/>
      <c r="T324" s="33"/>
      <c r="U324" s="33"/>
      <c r="V324" s="33"/>
    </row>
    <row r="325" ht="14.25" spans="1:22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5"/>
      <c r="L325" s="36">
        <v>1762</v>
      </c>
      <c r="M325" s="37">
        <v>0.06</v>
      </c>
      <c r="N325" s="38" t="s">
        <v>1027</v>
      </c>
      <c r="O325" s="33"/>
      <c r="P325" s="35"/>
      <c r="Q325" s="39"/>
      <c r="R325" s="39"/>
      <c r="S325" s="33"/>
      <c r="T325" s="33"/>
      <c r="U325" s="33"/>
      <c r="V325" s="33"/>
    </row>
    <row r="326" ht="14.25" spans="1:22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5"/>
      <c r="L326" s="36">
        <v>1764</v>
      </c>
      <c r="M326" s="37">
        <v>0.13</v>
      </c>
      <c r="N326" s="38" t="s">
        <v>1028</v>
      </c>
      <c r="O326" s="33"/>
      <c r="P326" s="35"/>
      <c r="Q326" s="39"/>
      <c r="R326" s="39"/>
      <c r="S326" s="33"/>
      <c r="T326" s="33"/>
      <c r="U326" s="33"/>
      <c r="V326" s="33"/>
    </row>
    <row r="327" ht="14.25" spans="1:22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5"/>
      <c r="L327" s="36">
        <v>1765</v>
      </c>
      <c r="M327" s="37">
        <v>0.13</v>
      </c>
      <c r="N327" s="38" t="s">
        <v>1029</v>
      </c>
      <c r="O327" s="33"/>
      <c r="P327" s="35"/>
      <c r="Q327" s="39"/>
      <c r="R327" s="39"/>
      <c r="S327" s="33"/>
      <c r="T327" s="33"/>
      <c r="U327" s="33"/>
      <c r="V327" s="33"/>
    </row>
    <row r="328" ht="14.25" spans="1:22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5"/>
      <c r="L328" s="36">
        <v>1766</v>
      </c>
      <c r="M328" s="37">
        <v>0.06</v>
      </c>
      <c r="N328" s="38" t="s">
        <v>1030</v>
      </c>
      <c r="O328" s="33"/>
      <c r="P328" s="35"/>
      <c r="Q328" s="39"/>
      <c r="R328" s="39"/>
      <c r="S328" s="33"/>
      <c r="T328" s="33"/>
      <c r="U328" s="33"/>
      <c r="V328" s="33"/>
    </row>
    <row r="329" ht="14.25" spans="1:22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5"/>
      <c r="L329" s="36">
        <v>1768</v>
      </c>
      <c r="M329" s="37">
        <v>0.13</v>
      </c>
      <c r="N329" s="38" t="s">
        <v>1031</v>
      </c>
      <c r="O329" s="33"/>
      <c r="P329" s="35"/>
      <c r="Q329" s="39"/>
      <c r="R329" s="39"/>
      <c r="S329" s="33"/>
      <c r="T329" s="33"/>
      <c r="U329" s="33"/>
      <c r="V329" s="33"/>
    </row>
    <row r="330" ht="14.25" spans="1:22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5"/>
      <c r="L330" s="36">
        <v>1770</v>
      </c>
      <c r="M330" s="37">
        <v>0.13</v>
      </c>
      <c r="N330" s="38" t="s">
        <v>1032</v>
      </c>
      <c r="O330" s="33"/>
      <c r="P330" s="35"/>
      <c r="Q330" s="39"/>
      <c r="R330" s="39"/>
      <c r="S330" s="33"/>
      <c r="T330" s="33"/>
      <c r="U330" s="33"/>
      <c r="V330" s="33"/>
    </row>
    <row r="331" ht="14.25" spans="1:22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5"/>
      <c r="L331" s="36">
        <v>1771</v>
      </c>
      <c r="M331" s="37">
        <v>0.13</v>
      </c>
      <c r="N331" s="38" t="s">
        <v>1033</v>
      </c>
      <c r="O331" s="33"/>
      <c r="P331" s="35"/>
      <c r="Q331" s="39"/>
      <c r="R331" s="39"/>
      <c r="S331" s="33"/>
      <c r="T331" s="33"/>
      <c r="U331" s="33"/>
      <c r="V331" s="33"/>
    </row>
    <row r="332" ht="14.25" spans="1:2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5"/>
      <c r="L332" s="36">
        <v>1777</v>
      </c>
      <c r="M332" s="37" t="s">
        <v>184</v>
      </c>
      <c r="N332" s="38" t="s">
        <v>1034</v>
      </c>
      <c r="O332" s="33"/>
      <c r="P332" s="35"/>
      <c r="Q332" s="39"/>
      <c r="R332" s="39"/>
      <c r="S332" s="33"/>
      <c r="T332" s="33"/>
      <c r="U332" s="33"/>
      <c r="V332" s="33"/>
    </row>
    <row r="333" ht="14.25" spans="1:22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5"/>
      <c r="L333" s="36">
        <v>1778</v>
      </c>
      <c r="M333" s="37">
        <v>0.09</v>
      </c>
      <c r="N333" s="38" t="s">
        <v>1035</v>
      </c>
      <c r="O333" s="33"/>
      <c r="P333" s="35"/>
      <c r="Q333" s="39"/>
      <c r="R333" s="39"/>
      <c r="S333" s="33"/>
      <c r="T333" s="33"/>
      <c r="U333" s="33"/>
      <c r="V333" s="33"/>
    </row>
    <row r="334" ht="14.25" spans="1:22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5"/>
      <c r="L334" s="36">
        <v>1784</v>
      </c>
      <c r="M334" s="37">
        <v>0.06</v>
      </c>
      <c r="N334" s="38" t="s">
        <v>1036</v>
      </c>
      <c r="O334" s="33"/>
      <c r="P334" s="35"/>
      <c r="Q334" s="39"/>
      <c r="R334" s="39"/>
      <c r="S334" s="33"/>
      <c r="T334" s="33"/>
      <c r="U334" s="33"/>
      <c r="V334" s="33"/>
    </row>
    <row r="335" ht="14.25" spans="1:22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5"/>
      <c r="L335" s="36">
        <v>1785</v>
      </c>
      <c r="M335" s="37">
        <v>0.06</v>
      </c>
      <c r="N335" s="38" t="s">
        <v>1037</v>
      </c>
      <c r="O335" s="33"/>
      <c r="P335" s="35"/>
      <c r="Q335" s="39"/>
      <c r="R335" s="39"/>
      <c r="S335" s="33"/>
      <c r="T335" s="33"/>
      <c r="U335" s="33"/>
      <c r="V335" s="33"/>
    </row>
    <row r="336" ht="14.25" spans="1:22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5"/>
      <c r="L336" s="36">
        <v>1813</v>
      </c>
      <c r="M336" s="37">
        <v>0.06</v>
      </c>
      <c r="N336" s="38" t="s">
        <v>1038</v>
      </c>
      <c r="O336" s="33"/>
      <c r="P336" s="35"/>
      <c r="Q336" s="39"/>
      <c r="R336" s="39"/>
      <c r="S336" s="33"/>
      <c r="T336" s="33"/>
      <c r="U336" s="33"/>
      <c r="V336" s="33"/>
    </row>
    <row r="337" ht="14.25" spans="1:22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5"/>
      <c r="L337" s="36">
        <v>1814</v>
      </c>
      <c r="M337" s="37">
        <v>0.06</v>
      </c>
      <c r="N337" s="38" t="s">
        <v>1039</v>
      </c>
      <c r="O337" s="33"/>
      <c r="P337" s="35"/>
      <c r="Q337" s="39"/>
      <c r="R337" s="39"/>
      <c r="S337" s="33"/>
      <c r="T337" s="33"/>
      <c r="U337" s="33"/>
      <c r="V337" s="33"/>
    </row>
    <row r="338" ht="14.25" spans="1:22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5"/>
      <c r="L338" s="36">
        <v>1843</v>
      </c>
      <c r="M338" s="37">
        <v>0.06</v>
      </c>
      <c r="N338" s="38" t="s">
        <v>1040</v>
      </c>
      <c r="O338" s="33"/>
      <c r="P338" s="35"/>
      <c r="Q338" s="39"/>
      <c r="R338" s="39"/>
      <c r="S338" s="33"/>
      <c r="T338" s="33"/>
      <c r="U338" s="33"/>
      <c r="V338" s="33"/>
    </row>
    <row r="339" ht="14.25" spans="1:22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5"/>
      <c r="L339" s="36">
        <v>1916</v>
      </c>
      <c r="M339" s="37">
        <v>0.06</v>
      </c>
      <c r="N339" s="38" t="s">
        <v>1041</v>
      </c>
      <c r="O339" s="33"/>
      <c r="P339" s="35"/>
      <c r="Q339" s="39"/>
      <c r="R339" s="39"/>
      <c r="S339" s="33"/>
      <c r="T339" s="33"/>
      <c r="U339" s="33"/>
      <c r="V339" s="33"/>
    </row>
    <row r="340" ht="14.25" spans="1:22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5"/>
      <c r="L340" s="36">
        <v>1918</v>
      </c>
      <c r="M340" s="37">
        <v>0.06</v>
      </c>
      <c r="N340" s="38" t="s">
        <v>1042</v>
      </c>
      <c r="O340" s="33"/>
      <c r="P340" s="35"/>
      <c r="Q340" s="39"/>
      <c r="R340" s="39"/>
      <c r="S340" s="33"/>
      <c r="T340" s="33"/>
      <c r="U340" s="33"/>
      <c r="V340" s="33"/>
    </row>
    <row r="341" ht="14.25" spans="1:22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5"/>
      <c r="L341" s="36">
        <v>1920</v>
      </c>
      <c r="M341" s="37">
        <v>0.06</v>
      </c>
      <c r="N341" s="38" t="s">
        <v>1043</v>
      </c>
      <c r="O341" s="33"/>
      <c r="P341" s="35"/>
      <c r="Q341" s="39"/>
      <c r="R341" s="39"/>
      <c r="S341" s="33"/>
      <c r="T341" s="33"/>
      <c r="U341" s="33"/>
      <c r="V341" s="33"/>
    </row>
    <row r="342" ht="14.25" spans="1:2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5"/>
      <c r="L342" s="36">
        <v>1921</v>
      </c>
      <c r="M342" s="37">
        <v>0.06</v>
      </c>
      <c r="N342" s="38" t="s">
        <v>1044</v>
      </c>
      <c r="O342" s="33"/>
      <c r="P342" s="35"/>
      <c r="Q342" s="39"/>
      <c r="R342" s="39"/>
      <c r="S342" s="33"/>
      <c r="T342" s="33"/>
      <c r="U342" s="33"/>
      <c r="V342" s="33"/>
    </row>
    <row r="343" ht="14.25" spans="1:22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5"/>
      <c r="L343" s="36">
        <v>1922</v>
      </c>
      <c r="M343" s="37">
        <v>0.06</v>
      </c>
      <c r="N343" s="38" t="s">
        <v>1045</v>
      </c>
      <c r="O343" s="33"/>
      <c r="P343" s="35"/>
      <c r="Q343" s="39"/>
      <c r="R343" s="39"/>
      <c r="S343" s="33"/>
      <c r="T343" s="33"/>
      <c r="U343" s="33"/>
      <c r="V343" s="33"/>
    </row>
    <row r="344" ht="14.25" spans="1:22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5"/>
      <c r="L344" s="36">
        <v>1923</v>
      </c>
      <c r="M344" s="37">
        <v>0.06</v>
      </c>
      <c r="N344" s="38" t="s">
        <v>1046</v>
      </c>
      <c r="O344" s="33"/>
      <c r="P344" s="35"/>
      <c r="Q344" s="39"/>
      <c r="R344" s="39"/>
      <c r="S344" s="33"/>
      <c r="T344" s="33"/>
      <c r="U344" s="33"/>
      <c r="V344" s="33"/>
    </row>
    <row r="345" ht="14.25" spans="1:22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5"/>
      <c r="L345" s="36">
        <v>1925</v>
      </c>
      <c r="M345" s="37">
        <v>0.06</v>
      </c>
      <c r="N345" s="38" t="s">
        <v>1047</v>
      </c>
      <c r="O345" s="33"/>
      <c r="P345" s="35"/>
      <c r="Q345" s="39"/>
      <c r="R345" s="39"/>
      <c r="S345" s="33"/>
      <c r="T345" s="33"/>
      <c r="U345" s="33"/>
      <c r="V345" s="33"/>
    </row>
    <row r="346" ht="14.25" spans="1:22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5"/>
      <c r="L346" s="36">
        <v>1926</v>
      </c>
      <c r="M346" s="37">
        <v>0.06</v>
      </c>
      <c r="N346" s="38" t="s">
        <v>1048</v>
      </c>
      <c r="O346" s="33"/>
      <c r="P346" s="35"/>
      <c r="Q346" s="39"/>
      <c r="R346" s="39"/>
      <c r="S346" s="33"/>
      <c r="T346" s="33"/>
      <c r="U346" s="33"/>
      <c r="V346" s="33"/>
    </row>
    <row r="347" ht="14.25" spans="1:22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5"/>
      <c r="L347" s="36">
        <v>1927</v>
      </c>
      <c r="M347" s="37">
        <v>0.06</v>
      </c>
      <c r="N347" s="38" t="s">
        <v>1049</v>
      </c>
      <c r="O347" s="33"/>
      <c r="P347" s="35"/>
      <c r="Q347" s="39"/>
      <c r="R347" s="39"/>
      <c r="S347" s="33"/>
      <c r="T347" s="33"/>
      <c r="U347" s="33"/>
      <c r="V347" s="33"/>
    </row>
    <row r="348" ht="14.25" spans="1:22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5"/>
      <c r="L348" s="36">
        <v>1929</v>
      </c>
      <c r="M348" s="37">
        <v>0.06</v>
      </c>
      <c r="N348" s="38" t="s">
        <v>1050</v>
      </c>
      <c r="O348" s="33"/>
      <c r="P348" s="35"/>
      <c r="Q348" s="39"/>
      <c r="R348" s="39"/>
      <c r="S348" s="33"/>
      <c r="T348" s="33"/>
      <c r="U348" s="33"/>
      <c r="V348" s="33"/>
    </row>
    <row r="349" ht="14.25" spans="1:22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5"/>
      <c r="L349" s="36">
        <v>1930</v>
      </c>
      <c r="M349" s="37">
        <v>0.06</v>
      </c>
      <c r="N349" s="38" t="s">
        <v>1051</v>
      </c>
      <c r="O349" s="33"/>
      <c r="P349" s="35"/>
      <c r="Q349" s="39"/>
      <c r="R349" s="39"/>
      <c r="S349" s="33"/>
      <c r="T349" s="33"/>
      <c r="U349" s="33"/>
      <c r="V349" s="33"/>
    </row>
    <row r="350" ht="14.25" spans="1:22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5"/>
      <c r="L350" s="36">
        <v>1931</v>
      </c>
      <c r="M350" s="37">
        <v>0.06</v>
      </c>
      <c r="N350" s="38" t="s">
        <v>1052</v>
      </c>
      <c r="O350" s="33"/>
      <c r="P350" s="35"/>
      <c r="Q350" s="39"/>
      <c r="R350" s="39"/>
      <c r="S350" s="33"/>
      <c r="T350" s="33"/>
      <c r="U350" s="33"/>
      <c r="V350" s="33"/>
    </row>
    <row r="351" ht="14.25" spans="1:22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5"/>
      <c r="L351" s="36">
        <v>1932</v>
      </c>
      <c r="M351" s="37">
        <v>0.06</v>
      </c>
      <c r="N351" s="38" t="s">
        <v>1053</v>
      </c>
      <c r="O351" s="33"/>
      <c r="P351" s="35"/>
      <c r="Q351" s="39"/>
      <c r="R351" s="39"/>
      <c r="S351" s="33"/>
      <c r="T351" s="33"/>
      <c r="U351" s="33"/>
      <c r="V351" s="33"/>
    </row>
    <row r="352" ht="14.25" spans="1:2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5"/>
      <c r="L352" s="36">
        <v>1933</v>
      </c>
      <c r="M352" s="37">
        <v>0.06</v>
      </c>
      <c r="N352" s="38" t="s">
        <v>1054</v>
      </c>
      <c r="O352" s="33"/>
      <c r="P352" s="35"/>
      <c r="Q352" s="39"/>
      <c r="R352" s="39"/>
      <c r="S352" s="33"/>
      <c r="T352" s="33"/>
      <c r="U352" s="33"/>
      <c r="V352" s="33"/>
    </row>
    <row r="353" ht="14.25" spans="1:22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5"/>
      <c r="L353" s="36">
        <v>1935</v>
      </c>
      <c r="M353" s="37">
        <v>0.06</v>
      </c>
      <c r="N353" s="38" t="s">
        <v>1055</v>
      </c>
      <c r="O353" s="33"/>
      <c r="P353" s="35"/>
      <c r="Q353" s="39"/>
      <c r="R353" s="39"/>
      <c r="S353" s="33"/>
      <c r="T353" s="33"/>
      <c r="U353" s="33"/>
      <c r="V353" s="33"/>
    </row>
    <row r="354" ht="14.25" spans="1:22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5"/>
      <c r="L354" s="36">
        <v>1937</v>
      </c>
      <c r="M354" s="37">
        <v>0.06</v>
      </c>
      <c r="N354" s="38" t="s">
        <v>1056</v>
      </c>
      <c r="O354" s="33"/>
      <c r="P354" s="35"/>
      <c r="Q354" s="39"/>
      <c r="R354" s="39"/>
      <c r="S354" s="33"/>
      <c r="T354" s="33"/>
      <c r="U354" s="33"/>
      <c r="V354" s="33"/>
    </row>
    <row r="355" ht="14.25" spans="1:22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5"/>
      <c r="L355" s="36">
        <v>1952</v>
      </c>
      <c r="M355" s="37">
        <v>0.09</v>
      </c>
      <c r="N355" s="38" t="s">
        <v>1057</v>
      </c>
      <c r="O355" s="33"/>
      <c r="P355" s="35"/>
      <c r="Q355" s="39"/>
      <c r="R355" s="39"/>
      <c r="S355" s="33"/>
      <c r="T355" s="33"/>
      <c r="U355" s="33"/>
      <c r="V355" s="33"/>
    </row>
    <row r="356" ht="14.25" spans="1:22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5"/>
      <c r="L356" s="36">
        <v>1954</v>
      </c>
      <c r="M356" s="37">
        <v>0.09</v>
      </c>
      <c r="N356" s="38" t="s">
        <v>1058</v>
      </c>
      <c r="O356" s="33"/>
      <c r="P356" s="35"/>
      <c r="Q356" s="39"/>
      <c r="R356" s="39"/>
      <c r="S356" s="33"/>
      <c r="T356" s="33"/>
      <c r="U356" s="33"/>
      <c r="V356" s="33"/>
    </row>
    <row r="357" ht="14.25" spans="1:22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5"/>
      <c r="L357" s="36">
        <v>1955</v>
      </c>
      <c r="M357" s="37">
        <v>0.09</v>
      </c>
      <c r="N357" s="38" t="s">
        <v>1059</v>
      </c>
      <c r="O357" s="33"/>
      <c r="P357" s="35"/>
      <c r="Q357" s="39"/>
      <c r="R357" s="39"/>
      <c r="S357" s="33"/>
      <c r="T357" s="33"/>
      <c r="U357" s="33"/>
      <c r="V357" s="33"/>
    </row>
    <row r="358" ht="14.25" spans="1:22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5"/>
      <c r="L358" s="36">
        <v>1963</v>
      </c>
      <c r="M358" s="37">
        <v>0.09</v>
      </c>
      <c r="N358" s="38" t="s">
        <v>1060</v>
      </c>
      <c r="O358" s="33"/>
      <c r="P358" s="35"/>
      <c r="Q358" s="39"/>
      <c r="R358" s="39"/>
      <c r="S358" s="33"/>
      <c r="T358" s="33"/>
      <c r="U358" s="33"/>
      <c r="V358" s="33"/>
    </row>
    <row r="359" ht="14.25" spans="1:22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5"/>
      <c r="L359" s="36">
        <v>1964</v>
      </c>
      <c r="M359" s="37">
        <v>0.09</v>
      </c>
      <c r="N359" s="38" t="s">
        <v>1061</v>
      </c>
      <c r="O359" s="33"/>
      <c r="P359" s="35"/>
      <c r="Q359" s="39"/>
      <c r="R359" s="39"/>
      <c r="S359" s="33"/>
      <c r="T359" s="33"/>
      <c r="U359" s="33"/>
      <c r="V359" s="33"/>
    </row>
    <row r="360" ht="14.25" spans="1:22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5"/>
      <c r="L360" s="36">
        <v>1969</v>
      </c>
      <c r="M360" s="37">
        <v>0.06</v>
      </c>
      <c r="N360" s="38" t="s">
        <v>1062</v>
      </c>
      <c r="O360" s="33"/>
      <c r="P360" s="35"/>
      <c r="Q360" s="39"/>
      <c r="R360" s="39"/>
      <c r="S360" s="33"/>
      <c r="T360" s="33"/>
      <c r="U360" s="33"/>
      <c r="V360" s="33"/>
    </row>
    <row r="361" ht="14.25" spans="1:22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5"/>
      <c r="L361" s="36">
        <v>1981</v>
      </c>
      <c r="M361" s="37">
        <v>0.06</v>
      </c>
      <c r="N361" s="38" t="s">
        <v>1063</v>
      </c>
      <c r="O361" s="33"/>
      <c r="P361" s="35"/>
      <c r="Q361" s="39"/>
      <c r="R361" s="39"/>
      <c r="S361" s="33"/>
      <c r="T361" s="33"/>
      <c r="U361" s="33"/>
      <c r="V361" s="33"/>
    </row>
    <row r="362" ht="14.25" spans="1:2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5"/>
      <c r="L362" s="36">
        <v>1985</v>
      </c>
      <c r="M362" s="37">
        <v>0.06</v>
      </c>
      <c r="N362" s="38" t="s">
        <v>1064</v>
      </c>
      <c r="O362" s="33"/>
      <c r="P362" s="35"/>
      <c r="Q362" s="39"/>
      <c r="R362" s="39"/>
      <c r="S362" s="33"/>
      <c r="T362" s="33"/>
      <c r="U362" s="33"/>
      <c r="V362" s="33"/>
    </row>
    <row r="363" ht="14.25" spans="1:22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5"/>
      <c r="L363" s="36">
        <v>2023</v>
      </c>
      <c r="M363" s="37">
        <v>0.06</v>
      </c>
      <c r="N363" s="38" t="s">
        <v>1065</v>
      </c>
      <c r="O363" s="33"/>
      <c r="P363" s="35"/>
      <c r="Q363" s="39"/>
      <c r="R363" s="39"/>
      <c r="S363" s="33"/>
      <c r="T363" s="33"/>
      <c r="U363" s="33"/>
      <c r="V363" s="33"/>
    </row>
    <row r="364" ht="14.25" spans="1:22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5"/>
      <c r="L364" s="36">
        <v>2024</v>
      </c>
      <c r="M364" s="37">
        <v>0.06</v>
      </c>
      <c r="N364" s="38" t="s">
        <v>1066</v>
      </c>
      <c r="O364" s="33"/>
      <c r="P364" s="35"/>
      <c r="Q364" s="39"/>
      <c r="R364" s="39"/>
      <c r="S364" s="33"/>
      <c r="T364" s="33"/>
      <c r="U364" s="33"/>
      <c r="V364" s="33"/>
    </row>
    <row r="365" ht="14.25" spans="1:22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5"/>
      <c r="L365" s="36">
        <v>2027</v>
      </c>
      <c r="M365" s="37">
        <v>0.09</v>
      </c>
      <c r="N365" s="38" t="s">
        <v>1067</v>
      </c>
      <c r="O365" s="33"/>
      <c r="P365" s="35"/>
      <c r="Q365" s="39"/>
      <c r="R365" s="39"/>
      <c r="S365" s="33"/>
      <c r="T365" s="33"/>
      <c r="U365" s="33"/>
      <c r="V365" s="33"/>
    </row>
    <row r="366" ht="14.25" spans="1:22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5"/>
      <c r="L366" s="36">
        <v>2028</v>
      </c>
      <c r="M366" s="37">
        <v>0.09</v>
      </c>
      <c r="N366" s="38" t="s">
        <v>1068</v>
      </c>
      <c r="O366" s="33"/>
      <c r="P366" s="35"/>
      <c r="Q366" s="39"/>
      <c r="R366" s="39"/>
      <c r="S366" s="33"/>
      <c r="T366" s="33"/>
      <c r="U366" s="33"/>
      <c r="V366" s="33"/>
    </row>
    <row r="367" ht="14.25" spans="1:22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5"/>
      <c r="L367" s="36">
        <v>2029</v>
      </c>
      <c r="M367" s="37">
        <v>0.09</v>
      </c>
      <c r="N367" s="38" t="s">
        <v>1069</v>
      </c>
      <c r="O367" s="33"/>
      <c r="P367" s="35"/>
      <c r="Q367" s="39"/>
      <c r="R367" s="39"/>
      <c r="S367" s="33"/>
      <c r="T367" s="33"/>
      <c r="U367" s="33"/>
      <c r="V367" s="33"/>
    </row>
    <row r="368" ht="14.25" spans="1:22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5"/>
      <c r="L368" s="36">
        <v>2036</v>
      </c>
      <c r="M368" s="37">
        <v>0.06</v>
      </c>
      <c r="N368" s="38" t="s">
        <v>1070</v>
      </c>
      <c r="O368" s="33"/>
      <c r="P368" s="35"/>
      <c r="Q368" s="39"/>
      <c r="R368" s="39"/>
      <c r="S368" s="33"/>
      <c r="T368" s="33"/>
      <c r="U368" s="33"/>
      <c r="V368" s="33"/>
    </row>
    <row r="369" ht="14.25" spans="1:22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5"/>
      <c r="L369" s="36">
        <v>2055</v>
      </c>
      <c r="M369" s="37">
        <v>0.06</v>
      </c>
      <c r="N369" s="38" t="s">
        <v>1071</v>
      </c>
      <c r="O369" s="33"/>
      <c r="P369" s="35"/>
      <c r="Q369" s="39"/>
      <c r="R369" s="39"/>
      <c r="S369" s="33"/>
      <c r="T369" s="33"/>
      <c r="U369" s="33"/>
      <c r="V369" s="33"/>
    </row>
    <row r="370" ht="14.25" spans="1:22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5"/>
      <c r="L370" s="36">
        <v>2330</v>
      </c>
      <c r="M370" s="37">
        <v>0.06</v>
      </c>
      <c r="N370" s="38" t="s">
        <v>1072</v>
      </c>
      <c r="O370" s="33"/>
      <c r="P370" s="35"/>
      <c r="Q370" s="39"/>
      <c r="R370" s="39"/>
      <c r="S370" s="33"/>
      <c r="T370" s="33"/>
      <c r="U370" s="33"/>
      <c r="V370" s="33"/>
    </row>
    <row r="371" ht="14.25" spans="1:22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5"/>
      <c r="L371" s="36">
        <v>2331</v>
      </c>
      <c r="M371" s="37">
        <v>0.06</v>
      </c>
      <c r="N371" s="38" t="s">
        <v>1073</v>
      </c>
      <c r="O371" s="33"/>
      <c r="P371" s="35"/>
      <c r="Q371" s="39"/>
      <c r="R371" s="39"/>
      <c r="S371" s="33"/>
      <c r="T371" s="33"/>
      <c r="U371" s="33"/>
      <c r="V371" s="33"/>
    </row>
    <row r="372" ht="14.25" spans="1:2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5"/>
      <c r="L372" s="36">
        <v>2335</v>
      </c>
      <c r="M372" s="37">
        <v>0.06</v>
      </c>
      <c r="N372" s="38" t="s">
        <v>1074</v>
      </c>
      <c r="O372" s="33"/>
      <c r="P372" s="35"/>
      <c r="Q372" s="39"/>
      <c r="R372" s="39"/>
      <c r="S372" s="33"/>
      <c r="T372" s="33"/>
      <c r="U372" s="33"/>
      <c r="V372" s="33"/>
    </row>
    <row r="373" ht="14.25" spans="1:22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5"/>
      <c r="L373" s="36">
        <v>2337</v>
      </c>
      <c r="M373" s="37">
        <v>0.06</v>
      </c>
      <c r="N373" s="38" t="s">
        <v>1075</v>
      </c>
      <c r="O373" s="33"/>
      <c r="P373" s="35"/>
      <c r="Q373" s="39"/>
      <c r="R373" s="39"/>
      <c r="S373" s="33"/>
      <c r="T373" s="33"/>
      <c r="U373" s="33"/>
      <c r="V373" s="33"/>
    </row>
    <row r="374" ht="14.25" spans="1:22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5"/>
      <c r="L374" s="36">
        <v>2338</v>
      </c>
      <c r="M374" s="37">
        <v>0.06</v>
      </c>
      <c r="N374" s="38" t="s">
        <v>1076</v>
      </c>
      <c r="O374" s="33"/>
      <c r="P374" s="35"/>
      <c r="Q374" s="39"/>
      <c r="R374" s="39"/>
      <c r="S374" s="33"/>
      <c r="T374" s="33"/>
      <c r="U374" s="33"/>
      <c r="V374" s="33"/>
    </row>
    <row r="375" ht="14.25" spans="1:22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5"/>
      <c r="L375" s="36">
        <v>2339</v>
      </c>
      <c r="M375" s="37">
        <v>0.06</v>
      </c>
      <c r="N375" s="38" t="s">
        <v>1077</v>
      </c>
      <c r="O375" s="33"/>
      <c r="P375" s="35"/>
      <c r="Q375" s="39"/>
      <c r="R375" s="39"/>
      <c r="S375" s="33"/>
      <c r="T375" s="33"/>
      <c r="U375" s="33"/>
      <c r="V375" s="33"/>
    </row>
    <row r="376" ht="14.25" spans="1:22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5"/>
      <c r="L376" s="36">
        <v>2342</v>
      </c>
      <c r="M376" s="37">
        <v>0.06</v>
      </c>
      <c r="N376" s="38" t="s">
        <v>1078</v>
      </c>
      <c r="O376" s="33"/>
      <c r="P376" s="35"/>
      <c r="Q376" s="39"/>
      <c r="R376" s="39"/>
      <c r="S376" s="33"/>
      <c r="T376" s="33"/>
      <c r="U376" s="33"/>
      <c r="V376" s="33"/>
    </row>
    <row r="377" ht="14.25" spans="1:22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5"/>
      <c r="L377" s="36">
        <v>2343</v>
      </c>
      <c r="M377" s="37">
        <v>0.06</v>
      </c>
      <c r="N377" s="38" t="s">
        <v>1079</v>
      </c>
      <c r="O377" s="33"/>
      <c r="P377" s="35"/>
      <c r="Q377" s="39"/>
      <c r="R377" s="39"/>
      <c r="S377" s="33"/>
      <c r="T377" s="33"/>
      <c r="U377" s="33"/>
      <c r="V377" s="33"/>
    </row>
    <row r="378" ht="14.25" spans="1:22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5"/>
      <c r="L378" s="36">
        <v>2344</v>
      </c>
      <c r="M378" s="37">
        <v>0.06</v>
      </c>
      <c r="N378" s="38" t="s">
        <v>1080</v>
      </c>
      <c r="O378" s="33"/>
      <c r="P378" s="35"/>
      <c r="Q378" s="39"/>
      <c r="R378" s="39"/>
      <c r="S378" s="33"/>
      <c r="T378" s="33"/>
      <c r="U378" s="33"/>
      <c r="V378" s="33"/>
    </row>
    <row r="379" ht="14.25" spans="1:22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5"/>
      <c r="L379" s="36">
        <v>2346</v>
      </c>
      <c r="M379" s="37">
        <v>0.06</v>
      </c>
      <c r="N379" s="38" t="s">
        <v>1081</v>
      </c>
      <c r="O379" s="33"/>
      <c r="P379" s="35"/>
      <c r="Q379" s="39"/>
      <c r="R379" s="39"/>
      <c r="S379" s="33"/>
      <c r="T379" s="33"/>
      <c r="U379" s="33"/>
      <c r="V379" s="33"/>
    </row>
    <row r="380" ht="14.25" spans="1:22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5"/>
      <c r="L380" s="36">
        <v>2348</v>
      </c>
      <c r="M380" s="37">
        <v>0.06</v>
      </c>
      <c r="N380" s="38" t="s">
        <v>1082</v>
      </c>
      <c r="O380" s="33"/>
      <c r="P380" s="35"/>
      <c r="Q380" s="39"/>
      <c r="R380" s="39"/>
      <c r="S380" s="33"/>
      <c r="T380" s="33"/>
      <c r="U380" s="33"/>
      <c r="V380" s="33"/>
    </row>
    <row r="381" ht="14.25" spans="1:22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5"/>
      <c r="L381" s="36">
        <v>2352</v>
      </c>
      <c r="M381" s="37">
        <v>0.06</v>
      </c>
      <c r="N381" s="38" t="s">
        <v>1083</v>
      </c>
      <c r="O381" s="33"/>
      <c r="P381" s="35"/>
      <c r="Q381" s="39"/>
      <c r="R381" s="39"/>
      <c r="S381" s="33"/>
      <c r="T381" s="33"/>
      <c r="U381" s="33"/>
      <c r="V381" s="33"/>
    </row>
    <row r="382" ht="14.25" spans="1:2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5"/>
      <c r="L382" s="36">
        <v>2354</v>
      </c>
      <c r="M382" s="37">
        <v>0.06</v>
      </c>
      <c r="N382" s="38" t="s">
        <v>1084</v>
      </c>
      <c r="O382" s="33"/>
      <c r="P382" s="35"/>
      <c r="Q382" s="39"/>
      <c r="R382" s="39"/>
      <c r="S382" s="33"/>
      <c r="T382" s="33"/>
      <c r="U382" s="33"/>
      <c r="V382" s="33"/>
    </row>
    <row r="383" ht="14.25" spans="1:22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5"/>
      <c r="L383" s="36">
        <v>2355</v>
      </c>
      <c r="M383" s="37">
        <v>0.06</v>
      </c>
      <c r="N383" s="38" t="s">
        <v>1085</v>
      </c>
      <c r="O383" s="33"/>
      <c r="P383" s="35"/>
      <c r="Q383" s="39"/>
      <c r="R383" s="39"/>
      <c r="S383" s="33"/>
      <c r="T383" s="33"/>
      <c r="U383" s="33"/>
      <c r="V383" s="33"/>
    </row>
    <row r="384" ht="14.25" spans="1:22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5"/>
      <c r="L384" s="36">
        <v>2357</v>
      </c>
      <c r="M384" s="37">
        <v>0.06</v>
      </c>
      <c r="N384" s="38" t="s">
        <v>1086</v>
      </c>
      <c r="O384" s="33"/>
      <c r="P384" s="35"/>
      <c r="Q384" s="39"/>
      <c r="R384" s="39"/>
      <c r="S384" s="33"/>
      <c r="T384" s="33"/>
      <c r="U384" s="33"/>
      <c r="V384" s="33"/>
    </row>
    <row r="385" ht="14.25" spans="1:22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5"/>
      <c r="L385" s="36">
        <v>2358</v>
      </c>
      <c r="M385" s="37">
        <v>0.06</v>
      </c>
      <c r="N385" s="38" t="s">
        <v>1087</v>
      </c>
      <c r="O385" s="33"/>
      <c r="P385" s="35"/>
      <c r="Q385" s="39"/>
      <c r="R385" s="39"/>
      <c r="S385" s="33"/>
      <c r="T385" s="33"/>
      <c r="U385" s="33"/>
      <c r="V385" s="33"/>
    </row>
    <row r="386" ht="14.25" spans="1:22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5"/>
      <c r="L386" s="36">
        <v>2361</v>
      </c>
      <c r="M386" s="37">
        <v>0.06</v>
      </c>
      <c r="N386" s="38" t="s">
        <v>1088</v>
      </c>
      <c r="O386" s="33"/>
      <c r="P386" s="35"/>
      <c r="Q386" s="39"/>
      <c r="R386" s="39"/>
      <c r="S386" s="33"/>
      <c r="T386" s="33"/>
      <c r="U386" s="33"/>
      <c r="V386" s="33"/>
    </row>
    <row r="387" ht="14.25" spans="1:22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5"/>
      <c r="L387" s="36">
        <v>2362</v>
      </c>
      <c r="M387" s="37">
        <v>0.06</v>
      </c>
      <c r="N387" s="38" t="s">
        <v>1089</v>
      </c>
      <c r="O387" s="33"/>
      <c r="P387" s="35"/>
      <c r="Q387" s="39"/>
      <c r="R387" s="39"/>
      <c r="S387" s="33"/>
      <c r="T387" s="33"/>
      <c r="U387" s="33"/>
      <c r="V387" s="33"/>
    </row>
    <row r="388" ht="14.25" spans="1:22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5"/>
      <c r="L388" s="36">
        <v>2363</v>
      </c>
      <c r="M388" s="37">
        <v>0.06</v>
      </c>
      <c r="N388" s="38" t="s">
        <v>1090</v>
      </c>
      <c r="O388" s="33"/>
      <c r="P388" s="35"/>
      <c r="Q388" s="39"/>
      <c r="R388" s="39"/>
      <c r="S388" s="33"/>
      <c r="T388" s="33"/>
      <c r="U388" s="33"/>
      <c r="V388" s="33"/>
    </row>
    <row r="389" ht="14.25" spans="1:22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5"/>
      <c r="L389" s="36">
        <v>2364</v>
      </c>
      <c r="M389" s="37">
        <v>0.06</v>
      </c>
      <c r="N389" s="38" t="s">
        <v>1091</v>
      </c>
      <c r="O389" s="33"/>
      <c r="P389" s="35"/>
      <c r="Q389" s="39"/>
      <c r="R389" s="39"/>
      <c r="S389" s="33"/>
      <c r="T389" s="33"/>
      <c r="U389" s="33"/>
      <c r="V389" s="33"/>
    </row>
    <row r="390" ht="14.25" spans="1:22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5"/>
      <c r="L390" s="36">
        <v>2365</v>
      </c>
      <c r="M390" s="37">
        <v>0.06</v>
      </c>
      <c r="N390" s="38" t="s">
        <v>1092</v>
      </c>
      <c r="O390" s="33"/>
      <c r="P390" s="35"/>
      <c r="Q390" s="39"/>
      <c r="R390" s="39"/>
      <c r="S390" s="33"/>
      <c r="T390" s="33"/>
      <c r="U390" s="33"/>
      <c r="V390" s="33"/>
    </row>
    <row r="391" ht="14.25" spans="1:22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5"/>
      <c r="L391" s="36">
        <v>2367</v>
      </c>
      <c r="M391" s="37">
        <v>0.06</v>
      </c>
      <c r="N391" s="38" t="s">
        <v>1093</v>
      </c>
      <c r="O391" s="33"/>
      <c r="P391" s="35"/>
      <c r="Q391" s="39"/>
      <c r="R391" s="39"/>
      <c r="S391" s="33"/>
      <c r="T391" s="33"/>
      <c r="U391" s="33"/>
      <c r="V391" s="33"/>
    </row>
    <row r="392" ht="14.25" spans="1:2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5"/>
      <c r="L392" s="36">
        <v>2375</v>
      </c>
      <c r="M392" s="37">
        <v>0.06</v>
      </c>
      <c r="N392" s="38" t="s">
        <v>1094</v>
      </c>
      <c r="O392" s="33"/>
      <c r="P392" s="35"/>
      <c r="Q392" s="39"/>
      <c r="R392" s="39"/>
      <c r="S392" s="33"/>
      <c r="T392" s="33"/>
      <c r="U392" s="33"/>
      <c r="V392" s="33"/>
    </row>
    <row r="393" ht="14.25" spans="1:22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5"/>
      <c r="L393" s="36">
        <v>2376</v>
      </c>
      <c r="M393" s="37">
        <v>0.06</v>
      </c>
      <c r="N393" s="38" t="s">
        <v>1095</v>
      </c>
      <c r="O393" s="33"/>
      <c r="P393" s="35"/>
      <c r="Q393" s="39"/>
      <c r="R393" s="39"/>
      <c r="S393" s="33"/>
      <c r="T393" s="33"/>
      <c r="U393" s="33"/>
      <c r="V393" s="33"/>
    </row>
    <row r="394" ht="14.25" spans="1:22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5"/>
      <c r="L394" s="36">
        <v>2378</v>
      </c>
      <c r="M394" s="37">
        <v>0.06</v>
      </c>
      <c r="N394" s="38" t="s">
        <v>1096</v>
      </c>
      <c r="O394" s="33"/>
      <c r="P394" s="35"/>
      <c r="Q394" s="39"/>
      <c r="R394" s="39"/>
      <c r="S394" s="33"/>
      <c r="T394" s="33"/>
      <c r="U394" s="33"/>
      <c r="V394" s="33"/>
    </row>
    <row r="395" ht="14.25" spans="1:22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5"/>
      <c r="L395" s="36">
        <v>2379</v>
      </c>
      <c r="M395" s="37">
        <v>0.06</v>
      </c>
      <c r="N395" s="38" t="s">
        <v>1097</v>
      </c>
      <c r="O395" s="33"/>
      <c r="P395" s="35"/>
      <c r="Q395" s="39"/>
      <c r="R395" s="39"/>
      <c r="S395" s="33"/>
      <c r="T395" s="33"/>
      <c r="U395" s="33"/>
      <c r="V395" s="33"/>
    </row>
    <row r="396" ht="14.25" spans="1:22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5"/>
      <c r="L396" s="36">
        <v>2381</v>
      </c>
      <c r="M396" s="37">
        <v>0.06</v>
      </c>
      <c r="N396" s="38" t="s">
        <v>1098</v>
      </c>
      <c r="O396" s="33"/>
      <c r="P396" s="35"/>
      <c r="Q396" s="39"/>
      <c r="R396" s="39"/>
      <c r="S396" s="33"/>
      <c r="T396" s="33"/>
      <c r="U396" s="33"/>
      <c r="V396" s="33"/>
    </row>
    <row r="397" ht="14.25" spans="1:22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5"/>
      <c r="L397" s="36">
        <v>2382</v>
      </c>
      <c r="M397" s="37">
        <v>0.06</v>
      </c>
      <c r="N397" s="38" t="s">
        <v>1099</v>
      </c>
      <c r="O397" s="33"/>
      <c r="P397" s="35"/>
      <c r="Q397" s="39"/>
      <c r="R397" s="39"/>
      <c r="S397" s="33"/>
      <c r="T397" s="33"/>
      <c r="U397" s="33"/>
      <c r="V397" s="33"/>
    </row>
    <row r="398" ht="14.25" spans="1:22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5"/>
      <c r="L398" s="36">
        <v>2384</v>
      </c>
      <c r="M398" s="37">
        <v>0.06</v>
      </c>
      <c r="N398" s="38" t="s">
        <v>1100</v>
      </c>
      <c r="O398" s="33"/>
      <c r="P398" s="35"/>
      <c r="Q398" s="39"/>
      <c r="R398" s="39"/>
      <c r="S398" s="33"/>
      <c r="T398" s="33"/>
      <c r="U398" s="33"/>
      <c r="V398" s="33"/>
    </row>
    <row r="399" ht="14.25" spans="1:22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5"/>
      <c r="L399" s="36">
        <v>2385</v>
      </c>
      <c r="M399" s="37">
        <v>0.06</v>
      </c>
      <c r="N399" s="38" t="s">
        <v>1101</v>
      </c>
      <c r="O399" s="33"/>
      <c r="P399" s="35"/>
      <c r="Q399" s="39"/>
      <c r="R399" s="39"/>
      <c r="S399" s="33"/>
      <c r="T399" s="33"/>
      <c r="U399" s="33"/>
      <c r="V399" s="33"/>
    </row>
    <row r="400" ht="14.25" spans="1:22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5"/>
      <c r="L400" s="36">
        <v>2387</v>
      </c>
      <c r="M400" s="37">
        <v>0.06</v>
      </c>
      <c r="N400" s="38" t="s">
        <v>1102</v>
      </c>
      <c r="O400" s="33"/>
      <c r="P400" s="35"/>
      <c r="Q400" s="39"/>
      <c r="R400" s="39"/>
      <c r="S400" s="33"/>
      <c r="T400" s="33"/>
      <c r="U400" s="33"/>
      <c r="V400" s="33"/>
    </row>
    <row r="401" ht="14.25" spans="1:22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5"/>
      <c r="L401" s="36">
        <v>2388</v>
      </c>
      <c r="M401" s="37">
        <v>0.06</v>
      </c>
      <c r="N401" s="38" t="s">
        <v>1103</v>
      </c>
      <c r="O401" s="33"/>
      <c r="P401" s="35"/>
      <c r="Q401" s="39"/>
      <c r="R401" s="39"/>
      <c r="S401" s="33"/>
      <c r="T401" s="33"/>
      <c r="U401" s="33"/>
      <c r="V401" s="33"/>
    </row>
    <row r="402" ht="14.25" spans="1:2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5"/>
      <c r="L402" s="36">
        <v>2389</v>
      </c>
      <c r="M402" s="37">
        <v>0.06</v>
      </c>
      <c r="N402" s="38" t="s">
        <v>1104</v>
      </c>
      <c r="O402" s="33"/>
      <c r="P402" s="35"/>
      <c r="Q402" s="39"/>
      <c r="R402" s="39"/>
      <c r="S402" s="33"/>
      <c r="T402" s="33"/>
      <c r="U402" s="33"/>
      <c r="V402" s="33"/>
    </row>
    <row r="403" ht="14.25" spans="1:22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5"/>
      <c r="L403" s="36">
        <v>2390</v>
      </c>
      <c r="M403" s="37">
        <v>0.06</v>
      </c>
      <c r="N403" s="38" t="s">
        <v>1105</v>
      </c>
      <c r="O403" s="33"/>
      <c r="P403" s="35"/>
      <c r="Q403" s="39"/>
      <c r="R403" s="39"/>
      <c r="S403" s="33"/>
      <c r="T403" s="33"/>
      <c r="U403" s="33"/>
      <c r="V403" s="33"/>
    </row>
    <row r="404" ht="14.25" spans="1:22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5"/>
      <c r="L404" s="36">
        <v>2440</v>
      </c>
      <c r="M404" s="37">
        <v>0.06</v>
      </c>
      <c r="N404" s="38" t="s">
        <v>1106</v>
      </c>
      <c r="O404" s="33"/>
      <c r="P404" s="35"/>
      <c r="Q404" s="39"/>
      <c r="R404" s="39"/>
      <c r="S404" s="33"/>
      <c r="T404" s="33"/>
      <c r="U404" s="33"/>
      <c r="V404" s="33"/>
    </row>
    <row r="405" ht="14.25" spans="1:22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5"/>
      <c r="L405" s="36">
        <v>2446</v>
      </c>
      <c r="M405" s="37">
        <v>0.06</v>
      </c>
      <c r="N405" s="38" t="s">
        <v>1107</v>
      </c>
      <c r="O405" s="33"/>
      <c r="P405" s="35"/>
      <c r="Q405" s="39"/>
      <c r="R405" s="39"/>
      <c r="S405" s="33"/>
      <c r="T405" s="33"/>
      <c r="U405" s="33"/>
      <c r="V405" s="33"/>
    </row>
    <row r="406" ht="14.25" spans="1:22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5"/>
      <c r="L406" s="36">
        <v>2447</v>
      </c>
      <c r="M406" s="37">
        <v>0.06</v>
      </c>
      <c r="N406" s="38" t="s">
        <v>1108</v>
      </c>
      <c r="O406" s="33"/>
      <c r="P406" s="35"/>
      <c r="Q406" s="39"/>
      <c r="R406" s="39"/>
      <c r="S406" s="33"/>
      <c r="T406" s="33"/>
      <c r="U406" s="33"/>
      <c r="V406" s="33"/>
    </row>
    <row r="407" ht="14.25" spans="1:22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5"/>
      <c r="L407" s="36">
        <v>2448</v>
      </c>
      <c r="M407" s="37">
        <v>0.06</v>
      </c>
      <c r="N407" s="38" t="s">
        <v>1109</v>
      </c>
      <c r="O407" s="33"/>
      <c r="P407" s="35"/>
      <c r="Q407" s="39"/>
      <c r="R407" s="39"/>
      <c r="S407" s="33"/>
      <c r="T407" s="33"/>
      <c r="U407" s="33"/>
      <c r="V407" s="33"/>
    </row>
    <row r="408" ht="14.25" spans="1:22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5"/>
      <c r="L408" s="36">
        <v>2449</v>
      </c>
      <c r="M408" s="37">
        <v>0.06</v>
      </c>
      <c r="N408" s="38" t="s">
        <v>1110</v>
      </c>
      <c r="O408" s="33"/>
      <c r="P408" s="35"/>
      <c r="Q408" s="39"/>
      <c r="R408" s="39"/>
      <c r="S408" s="33"/>
      <c r="T408" s="33"/>
      <c r="U408" s="33"/>
      <c r="V408" s="33"/>
    </row>
    <row r="409" ht="14.25" spans="1:22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5"/>
      <c r="L409" s="36">
        <v>2450</v>
      </c>
      <c r="M409" s="37">
        <v>0.06</v>
      </c>
      <c r="N409" s="38" t="s">
        <v>1111</v>
      </c>
      <c r="O409" s="33"/>
      <c r="P409" s="35"/>
      <c r="Q409" s="39"/>
      <c r="R409" s="39"/>
      <c r="S409" s="33"/>
      <c r="T409" s="33"/>
      <c r="U409" s="33"/>
      <c r="V409" s="33"/>
    </row>
    <row r="410" ht="14.25" spans="1:22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5"/>
      <c r="L410" s="36">
        <v>2478</v>
      </c>
      <c r="M410" s="37">
        <v>0.06</v>
      </c>
      <c r="N410" s="38" t="s">
        <v>1112</v>
      </c>
      <c r="O410" s="33"/>
      <c r="P410" s="35"/>
      <c r="Q410" s="39"/>
      <c r="R410" s="39"/>
      <c r="S410" s="33"/>
      <c r="T410" s="33"/>
      <c r="U410" s="33"/>
      <c r="V410" s="33"/>
    </row>
    <row r="411" ht="14.25" spans="1:22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5"/>
      <c r="L411" s="36">
        <v>2486</v>
      </c>
      <c r="M411" s="37">
        <v>0.06</v>
      </c>
      <c r="N411" s="38" t="s">
        <v>1113</v>
      </c>
      <c r="O411" s="33"/>
      <c r="P411" s="35"/>
      <c r="Q411" s="39"/>
      <c r="R411" s="39"/>
      <c r="S411" s="33"/>
      <c r="T411" s="33"/>
      <c r="U411" s="33"/>
      <c r="V411" s="33"/>
    </row>
    <row r="412" ht="14.25" spans="1:2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5"/>
      <c r="L412" s="36">
        <v>2548</v>
      </c>
      <c r="M412" s="37">
        <v>0.09</v>
      </c>
      <c r="N412" s="38" t="s">
        <v>1114</v>
      </c>
      <c r="O412" s="33"/>
      <c r="P412" s="35"/>
      <c r="Q412" s="39"/>
      <c r="R412" s="39"/>
      <c r="S412" s="33"/>
      <c r="T412" s="33"/>
      <c r="U412" s="33"/>
      <c r="V412" s="33"/>
    </row>
    <row r="413" ht="14.25" spans="1:22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5"/>
      <c r="L413" s="36">
        <v>2550</v>
      </c>
      <c r="M413" s="37">
        <v>0.06</v>
      </c>
      <c r="N413" s="38" t="s">
        <v>1115</v>
      </c>
      <c r="O413" s="33"/>
      <c r="P413" s="35"/>
      <c r="Q413" s="39"/>
      <c r="R413" s="39"/>
      <c r="S413" s="33"/>
      <c r="T413" s="33"/>
      <c r="U413" s="33"/>
      <c r="V413" s="33"/>
    </row>
    <row r="414" ht="14.25" spans="1:22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5"/>
      <c r="L414" s="36">
        <v>2555</v>
      </c>
      <c r="M414" s="37">
        <v>0.06</v>
      </c>
      <c r="N414" s="38" t="s">
        <v>1116</v>
      </c>
      <c r="O414" s="33"/>
      <c r="P414" s="35"/>
      <c r="Q414" s="39"/>
      <c r="R414" s="39"/>
      <c r="S414" s="33"/>
      <c r="T414" s="33"/>
      <c r="U414" s="33"/>
      <c r="V414" s="33"/>
    </row>
    <row r="415" ht="14.25" spans="1:22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5"/>
      <c r="L415" s="36">
        <v>2568</v>
      </c>
      <c r="M415" s="37">
        <v>0.06</v>
      </c>
      <c r="N415" s="38" t="s">
        <v>1117</v>
      </c>
      <c r="O415" s="33"/>
      <c r="P415" s="35"/>
      <c r="Q415" s="39"/>
      <c r="R415" s="39"/>
      <c r="S415" s="33"/>
      <c r="T415" s="33"/>
      <c r="U415" s="33"/>
      <c r="V415" s="33"/>
    </row>
    <row r="416" ht="14.25" spans="1:22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5"/>
      <c r="L416" s="36">
        <v>2569</v>
      </c>
      <c r="M416" s="37">
        <v>0.06</v>
      </c>
      <c r="N416" s="38" t="s">
        <v>1118</v>
      </c>
      <c r="O416" s="33"/>
      <c r="P416" s="35"/>
      <c r="Q416" s="39"/>
      <c r="R416" s="39"/>
      <c r="S416" s="33"/>
      <c r="T416" s="33"/>
      <c r="U416" s="33"/>
      <c r="V416" s="33"/>
    </row>
    <row r="417" ht="14.25" spans="1:22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5"/>
      <c r="L417" s="36">
        <v>2582</v>
      </c>
      <c r="M417" s="37">
        <v>0.06</v>
      </c>
      <c r="N417" s="38" t="s">
        <v>1119</v>
      </c>
      <c r="O417" s="33"/>
      <c r="P417" s="35"/>
      <c r="Q417" s="39"/>
      <c r="R417" s="39"/>
      <c r="S417" s="33"/>
      <c r="T417" s="33"/>
      <c r="U417" s="33"/>
      <c r="V417" s="33"/>
    </row>
    <row r="418" ht="14.25" spans="1:22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5"/>
      <c r="L418" s="36">
        <v>2584</v>
      </c>
      <c r="M418" s="37">
        <v>0.06</v>
      </c>
      <c r="N418" s="38" t="s">
        <v>1120</v>
      </c>
      <c r="O418" s="33"/>
      <c r="P418" s="35"/>
      <c r="Q418" s="39"/>
      <c r="R418" s="39"/>
      <c r="S418" s="33"/>
      <c r="T418" s="33"/>
      <c r="U418" s="33"/>
      <c r="V418" s="33"/>
    </row>
    <row r="419" ht="14.25" spans="1:22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5"/>
      <c r="L419" s="36">
        <v>2585</v>
      </c>
      <c r="M419" s="37">
        <v>0.06</v>
      </c>
      <c r="N419" s="38" t="s">
        <v>1121</v>
      </c>
      <c r="O419" s="33"/>
      <c r="P419" s="35"/>
      <c r="Q419" s="39"/>
      <c r="R419" s="39"/>
      <c r="S419" s="33"/>
      <c r="T419" s="33"/>
      <c r="U419" s="33"/>
      <c r="V419" s="33"/>
    </row>
    <row r="420" ht="14.25" spans="1:22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5"/>
      <c r="L420" s="36">
        <v>2587</v>
      </c>
      <c r="M420" s="37">
        <v>0.06</v>
      </c>
      <c r="N420" s="38" t="s">
        <v>1122</v>
      </c>
      <c r="O420" s="33"/>
      <c r="P420" s="35"/>
      <c r="Q420" s="39"/>
      <c r="R420" s="39"/>
      <c r="S420" s="33"/>
      <c r="T420" s="33"/>
      <c r="U420" s="33"/>
      <c r="V420" s="33"/>
    </row>
    <row r="421" ht="14.25" spans="1:22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5"/>
      <c r="L421" s="36">
        <v>2588</v>
      </c>
      <c r="M421" s="37">
        <v>0.06</v>
      </c>
      <c r="N421" s="38" t="s">
        <v>1123</v>
      </c>
      <c r="O421" s="33"/>
      <c r="P421" s="35"/>
      <c r="Q421" s="39"/>
      <c r="R421" s="39"/>
      <c r="S421" s="33"/>
      <c r="T421" s="33"/>
      <c r="U421" s="33"/>
      <c r="V421" s="33"/>
    </row>
    <row r="422" ht="14.25" spans="1: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5"/>
      <c r="L422" s="36">
        <v>2590</v>
      </c>
      <c r="M422" s="37">
        <v>0.06</v>
      </c>
      <c r="N422" s="38" t="s">
        <v>1124</v>
      </c>
      <c r="O422" s="33"/>
      <c r="P422" s="35"/>
      <c r="Q422" s="39"/>
      <c r="R422" s="39"/>
      <c r="S422" s="33"/>
      <c r="T422" s="33"/>
      <c r="U422" s="33"/>
      <c r="V422" s="33"/>
    </row>
    <row r="423" ht="14.25" spans="1:22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5"/>
      <c r="L423" s="36">
        <v>2591</v>
      </c>
      <c r="M423" s="37">
        <v>0.06</v>
      </c>
      <c r="N423" s="38" t="s">
        <v>1125</v>
      </c>
      <c r="O423" s="33"/>
      <c r="P423" s="35"/>
      <c r="Q423" s="39"/>
      <c r="R423" s="39"/>
      <c r="S423" s="33"/>
      <c r="T423" s="33"/>
      <c r="U423" s="33"/>
      <c r="V423" s="33"/>
    </row>
    <row r="424" ht="14.25" spans="1:22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5"/>
      <c r="L424" s="36">
        <v>2593</v>
      </c>
      <c r="M424" s="37">
        <v>0.06</v>
      </c>
      <c r="N424" s="38" t="s">
        <v>1126</v>
      </c>
      <c r="O424" s="33"/>
      <c r="P424" s="35"/>
      <c r="Q424" s="39"/>
      <c r="R424" s="39"/>
      <c r="S424" s="33"/>
      <c r="T424" s="33"/>
      <c r="U424" s="33"/>
      <c r="V424" s="33"/>
    </row>
    <row r="425" ht="14.25" spans="1:22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5"/>
      <c r="L425" s="36">
        <v>2594</v>
      </c>
      <c r="M425" s="37">
        <v>0.06</v>
      </c>
      <c r="N425" s="38" t="s">
        <v>1127</v>
      </c>
      <c r="O425" s="33"/>
      <c r="P425" s="35"/>
      <c r="Q425" s="39"/>
      <c r="R425" s="39"/>
      <c r="S425" s="33"/>
      <c r="T425" s="33"/>
      <c r="U425" s="33"/>
      <c r="V425" s="33"/>
    </row>
    <row r="426" ht="14.25" spans="1:22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5"/>
      <c r="L426" s="36">
        <v>2597</v>
      </c>
      <c r="M426" s="37">
        <v>0.06</v>
      </c>
      <c r="N426" s="38" t="s">
        <v>1128</v>
      </c>
      <c r="O426" s="33"/>
      <c r="P426" s="35"/>
      <c r="Q426" s="39"/>
      <c r="R426" s="39"/>
      <c r="S426" s="33"/>
      <c r="T426" s="33"/>
      <c r="U426" s="33"/>
      <c r="V426" s="33"/>
    </row>
    <row r="427" ht="14.25" spans="1:22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5"/>
      <c r="L427" s="36">
        <v>2598</v>
      </c>
      <c r="M427" s="37">
        <v>0.06</v>
      </c>
      <c r="N427" s="38" t="s">
        <v>1129</v>
      </c>
      <c r="O427" s="33"/>
      <c r="P427" s="35"/>
      <c r="Q427" s="39"/>
      <c r="R427" s="39"/>
      <c r="S427" s="33"/>
      <c r="T427" s="33"/>
      <c r="U427" s="33"/>
      <c r="V427" s="33"/>
    </row>
    <row r="428" ht="14.25" spans="1:22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5"/>
      <c r="L428" s="36">
        <v>2600</v>
      </c>
      <c r="M428" s="37">
        <v>0.06</v>
      </c>
      <c r="N428" s="38" t="s">
        <v>1130</v>
      </c>
      <c r="O428" s="33"/>
      <c r="P428" s="35"/>
      <c r="Q428" s="39"/>
      <c r="R428" s="39"/>
      <c r="S428" s="33"/>
      <c r="T428" s="33"/>
      <c r="U428" s="33"/>
      <c r="V428" s="33"/>
    </row>
    <row r="429" ht="14.25" spans="1:22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5"/>
      <c r="L429" s="36">
        <v>2601</v>
      </c>
      <c r="M429" s="37">
        <v>0.06</v>
      </c>
      <c r="N429" s="38" t="s">
        <v>1131</v>
      </c>
      <c r="O429" s="33"/>
      <c r="P429" s="35"/>
      <c r="Q429" s="39"/>
      <c r="R429" s="39"/>
      <c r="S429" s="33"/>
      <c r="T429" s="33"/>
      <c r="U429" s="33"/>
      <c r="V429" s="33"/>
    </row>
    <row r="430" ht="14.25" spans="1:22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5"/>
      <c r="L430" s="36">
        <v>2604</v>
      </c>
      <c r="M430" s="37">
        <v>0.06</v>
      </c>
      <c r="N430" s="38" t="s">
        <v>1132</v>
      </c>
      <c r="O430" s="33"/>
      <c r="P430" s="35"/>
      <c r="Q430" s="39"/>
      <c r="R430" s="39"/>
      <c r="S430" s="33"/>
      <c r="T430" s="33"/>
      <c r="U430" s="33"/>
      <c r="V430" s="33"/>
    </row>
    <row r="431" ht="14.25" spans="1:22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5"/>
      <c r="L431" s="36">
        <v>2605</v>
      </c>
      <c r="M431" s="37">
        <v>0.06</v>
      </c>
      <c r="N431" s="38" t="s">
        <v>1133</v>
      </c>
      <c r="O431" s="33"/>
      <c r="P431" s="35"/>
      <c r="Q431" s="39"/>
      <c r="R431" s="39"/>
      <c r="S431" s="33"/>
      <c r="T431" s="33"/>
      <c r="U431" s="33"/>
      <c r="V431" s="33"/>
    </row>
    <row r="432" ht="14.25" spans="1:2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5"/>
      <c r="L432" s="36">
        <v>2606</v>
      </c>
      <c r="M432" s="37">
        <v>0.06</v>
      </c>
      <c r="N432" s="38" t="s">
        <v>1134</v>
      </c>
      <c r="O432" s="33"/>
      <c r="P432" s="35"/>
      <c r="Q432" s="39"/>
      <c r="R432" s="39"/>
      <c r="S432" s="33"/>
      <c r="T432" s="33"/>
      <c r="U432" s="33"/>
      <c r="V432" s="33"/>
    </row>
    <row r="433" ht="14.25" spans="1:22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5"/>
      <c r="L433" s="36">
        <v>2612</v>
      </c>
      <c r="M433" s="37">
        <v>0.06</v>
      </c>
      <c r="N433" s="38" t="s">
        <v>1135</v>
      </c>
      <c r="O433" s="33"/>
      <c r="P433" s="35"/>
      <c r="Q433" s="39"/>
      <c r="R433" s="39"/>
      <c r="S433" s="33"/>
      <c r="T433" s="33"/>
      <c r="U433" s="33"/>
      <c r="V433" s="33"/>
    </row>
    <row r="434" ht="14.25" spans="1:22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5"/>
      <c r="L434" s="36">
        <v>2613</v>
      </c>
      <c r="M434" s="37">
        <v>0.06</v>
      </c>
      <c r="N434" s="38" t="s">
        <v>1136</v>
      </c>
      <c r="O434" s="33"/>
      <c r="P434" s="35"/>
      <c r="Q434" s="39"/>
      <c r="R434" s="39"/>
      <c r="S434" s="33"/>
      <c r="T434" s="33"/>
      <c r="U434" s="33"/>
      <c r="V434" s="33"/>
    </row>
    <row r="435" ht="14.25" spans="1:22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5"/>
      <c r="L435" s="36">
        <v>2615</v>
      </c>
      <c r="M435" s="37">
        <v>0.06</v>
      </c>
      <c r="N435" s="38" t="s">
        <v>1137</v>
      </c>
      <c r="O435" s="33"/>
      <c r="P435" s="35"/>
      <c r="Q435" s="39"/>
      <c r="R435" s="39"/>
      <c r="S435" s="33"/>
      <c r="T435" s="33"/>
      <c r="U435" s="33"/>
      <c r="V435" s="33"/>
    </row>
    <row r="436" ht="14.25" spans="1:22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5"/>
      <c r="L436" s="36">
        <v>2616</v>
      </c>
      <c r="M436" s="37">
        <v>0.06</v>
      </c>
      <c r="N436" s="38" t="s">
        <v>1138</v>
      </c>
      <c r="O436" s="33"/>
      <c r="P436" s="35"/>
      <c r="Q436" s="39"/>
      <c r="R436" s="39"/>
      <c r="S436" s="33"/>
      <c r="T436" s="33"/>
      <c r="U436" s="33"/>
      <c r="V436" s="33"/>
    </row>
    <row r="437" ht="14.25" spans="1:22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5"/>
      <c r="L437" s="36">
        <v>2618</v>
      </c>
      <c r="M437" s="37">
        <v>0.06</v>
      </c>
      <c r="N437" s="38" t="s">
        <v>1139</v>
      </c>
      <c r="O437" s="33"/>
      <c r="P437" s="35"/>
      <c r="Q437" s="39"/>
      <c r="R437" s="39"/>
      <c r="S437" s="33"/>
      <c r="T437" s="33"/>
      <c r="U437" s="33"/>
      <c r="V437" s="33"/>
    </row>
    <row r="438" ht="14.25" spans="1:22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5"/>
      <c r="L438" s="36">
        <v>2619</v>
      </c>
      <c r="M438" s="37">
        <v>0.06</v>
      </c>
      <c r="N438" s="38" t="s">
        <v>1140</v>
      </c>
      <c r="O438" s="33"/>
      <c r="P438" s="35"/>
      <c r="Q438" s="39"/>
      <c r="R438" s="39"/>
      <c r="S438" s="33"/>
      <c r="T438" s="33"/>
      <c r="U438" s="33"/>
      <c r="V438" s="33"/>
    </row>
    <row r="439" ht="14.25" spans="1:22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5"/>
      <c r="L439" s="36">
        <v>2621</v>
      </c>
      <c r="M439" s="37">
        <v>0.06</v>
      </c>
      <c r="N439" s="38" t="s">
        <v>1141</v>
      </c>
      <c r="O439" s="33"/>
      <c r="P439" s="35"/>
      <c r="Q439" s="39"/>
      <c r="R439" s="39"/>
      <c r="S439" s="33"/>
      <c r="T439" s="33"/>
      <c r="U439" s="33"/>
      <c r="V439" s="33"/>
    </row>
    <row r="440" ht="14.25" spans="1:22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5"/>
      <c r="L440" s="36">
        <v>2622</v>
      </c>
      <c r="M440" s="37">
        <v>0.06</v>
      </c>
      <c r="N440" s="38" t="s">
        <v>1142</v>
      </c>
      <c r="O440" s="33"/>
      <c r="P440" s="35"/>
      <c r="Q440" s="39"/>
      <c r="R440" s="39"/>
      <c r="S440" s="33"/>
      <c r="T440" s="33"/>
      <c r="U440" s="33"/>
      <c r="V440" s="33"/>
    </row>
    <row r="441" ht="14.25" spans="1:22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5"/>
      <c r="L441" s="36">
        <v>2624</v>
      </c>
      <c r="M441" s="37">
        <v>0.06</v>
      </c>
      <c r="N441" s="38" t="s">
        <v>1143</v>
      </c>
      <c r="O441" s="33"/>
      <c r="P441" s="35"/>
      <c r="Q441" s="39"/>
      <c r="R441" s="39"/>
      <c r="S441" s="33"/>
      <c r="T441" s="33"/>
      <c r="U441" s="33"/>
      <c r="V441" s="33"/>
    </row>
    <row r="442" ht="14.25" spans="1:2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5"/>
      <c r="L442" s="36">
        <v>2625</v>
      </c>
      <c r="M442" s="37">
        <v>0.06</v>
      </c>
      <c r="N442" s="38" t="s">
        <v>1144</v>
      </c>
      <c r="O442" s="33"/>
      <c r="P442" s="35"/>
      <c r="Q442" s="39"/>
      <c r="R442" s="39"/>
      <c r="S442" s="33"/>
      <c r="T442" s="33"/>
      <c r="U442" s="33"/>
      <c r="V442" s="33"/>
    </row>
    <row r="443" ht="14.25" spans="1:22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5"/>
      <c r="L443" s="36">
        <v>2627</v>
      </c>
      <c r="M443" s="37">
        <v>0.06</v>
      </c>
      <c r="N443" s="38" t="s">
        <v>1145</v>
      </c>
      <c r="O443" s="33"/>
      <c r="P443" s="35"/>
      <c r="Q443" s="39"/>
      <c r="R443" s="39"/>
      <c r="S443" s="33"/>
      <c r="T443" s="33"/>
      <c r="U443" s="33"/>
      <c r="V443" s="33"/>
    </row>
    <row r="444" ht="14.25" spans="1:22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5"/>
      <c r="L444" s="36">
        <v>2630</v>
      </c>
      <c r="M444" s="37">
        <v>0.06</v>
      </c>
      <c r="N444" s="38" t="s">
        <v>1146</v>
      </c>
      <c r="O444" s="33"/>
      <c r="P444" s="35"/>
      <c r="Q444" s="39"/>
      <c r="R444" s="39"/>
      <c r="S444" s="33"/>
      <c r="T444" s="33"/>
      <c r="U444" s="33"/>
      <c r="V444" s="33"/>
    </row>
    <row r="445" ht="14.25" spans="1:22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5"/>
      <c r="L445" s="36">
        <v>2647</v>
      </c>
      <c r="M445" s="37">
        <v>0.06</v>
      </c>
      <c r="N445" s="38" t="s">
        <v>1147</v>
      </c>
      <c r="O445" s="33"/>
      <c r="P445" s="35"/>
      <c r="Q445" s="39"/>
      <c r="R445" s="39"/>
      <c r="S445" s="33"/>
      <c r="T445" s="33"/>
      <c r="U445" s="33"/>
      <c r="V445" s="33"/>
    </row>
    <row r="446" ht="14.25" spans="1:22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5"/>
      <c r="L446" s="36">
        <v>2649</v>
      </c>
      <c r="M446" s="37">
        <v>0.06</v>
      </c>
      <c r="N446" s="38" t="s">
        <v>1148</v>
      </c>
      <c r="O446" s="33"/>
      <c r="P446" s="35"/>
      <c r="Q446" s="39"/>
      <c r="R446" s="39"/>
      <c r="S446" s="33"/>
      <c r="T446" s="33"/>
      <c r="U446" s="33"/>
      <c r="V446" s="33"/>
    </row>
    <row r="447" ht="14.25" spans="1:22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5"/>
      <c r="L447" s="36">
        <v>2652</v>
      </c>
      <c r="M447" s="37">
        <v>0.06</v>
      </c>
      <c r="N447" s="38" t="s">
        <v>1149</v>
      </c>
      <c r="O447" s="33"/>
      <c r="P447" s="35"/>
      <c r="Q447" s="39"/>
      <c r="R447" s="39"/>
      <c r="S447" s="33"/>
      <c r="T447" s="33"/>
      <c r="U447" s="33"/>
      <c r="V447" s="33"/>
    </row>
    <row r="448" ht="14.25" spans="1:22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5"/>
      <c r="L448" s="36">
        <v>2657</v>
      </c>
      <c r="M448" s="37">
        <v>0.06</v>
      </c>
      <c r="N448" s="38" t="s">
        <v>1150</v>
      </c>
      <c r="O448" s="33"/>
      <c r="P448" s="35"/>
      <c r="Q448" s="39"/>
      <c r="R448" s="39"/>
      <c r="S448" s="33"/>
      <c r="T448" s="33"/>
      <c r="U448" s="33"/>
      <c r="V448" s="33"/>
    </row>
    <row r="449" ht="14.25" spans="1:22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5"/>
      <c r="L449" s="36">
        <v>2658</v>
      </c>
      <c r="M449" s="37">
        <v>0.06</v>
      </c>
      <c r="N449" s="38" t="s">
        <v>1151</v>
      </c>
      <c r="O449" s="33"/>
      <c r="P449" s="35"/>
      <c r="Q449" s="39"/>
      <c r="R449" s="39"/>
      <c r="S449" s="33"/>
      <c r="T449" s="33"/>
      <c r="U449" s="33"/>
      <c r="V449" s="33"/>
    </row>
    <row r="450" ht="14.25" spans="1:22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5"/>
      <c r="L450" s="36">
        <v>2660</v>
      </c>
      <c r="M450" s="37">
        <v>0.06</v>
      </c>
      <c r="N450" s="38" t="s">
        <v>1152</v>
      </c>
      <c r="O450" s="33"/>
      <c r="P450" s="35"/>
      <c r="Q450" s="39"/>
      <c r="R450" s="39"/>
      <c r="S450" s="33"/>
      <c r="T450" s="33"/>
      <c r="U450" s="33"/>
      <c r="V450" s="33"/>
    </row>
    <row r="451" ht="14.25" spans="1:22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5"/>
      <c r="L451" s="36">
        <v>2661</v>
      </c>
      <c r="M451" s="37">
        <v>0.06</v>
      </c>
      <c r="N451" s="38" t="s">
        <v>1153</v>
      </c>
      <c r="O451" s="33"/>
      <c r="P451" s="35"/>
      <c r="Q451" s="39"/>
      <c r="R451" s="39"/>
      <c r="S451" s="33"/>
      <c r="T451" s="33"/>
      <c r="U451" s="33"/>
      <c r="V451" s="33"/>
    </row>
    <row r="452" ht="14.25" spans="1:2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5"/>
      <c r="L452" s="36">
        <v>2663</v>
      </c>
      <c r="M452" s="37">
        <v>0.06</v>
      </c>
      <c r="N452" s="38" t="s">
        <v>1154</v>
      </c>
      <c r="O452" s="33"/>
      <c r="P452" s="35"/>
      <c r="Q452" s="39"/>
      <c r="R452" s="39"/>
      <c r="S452" s="33"/>
      <c r="T452" s="33"/>
      <c r="U452" s="33"/>
      <c r="V452" s="33"/>
    </row>
    <row r="453" ht="14.25" spans="1:22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5"/>
      <c r="L453" s="36">
        <v>2664</v>
      </c>
      <c r="M453" s="37">
        <v>0.06</v>
      </c>
      <c r="N453" s="38" t="s">
        <v>1155</v>
      </c>
      <c r="O453" s="33"/>
      <c r="P453" s="35"/>
      <c r="Q453" s="39"/>
      <c r="R453" s="39"/>
      <c r="S453" s="33"/>
      <c r="T453" s="33"/>
      <c r="U453" s="33"/>
      <c r="V453" s="33"/>
    </row>
    <row r="454" ht="14.25" spans="1:22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5"/>
      <c r="L454" s="36">
        <v>2667</v>
      </c>
      <c r="M454" s="37">
        <v>0.06</v>
      </c>
      <c r="N454" s="38" t="s">
        <v>1156</v>
      </c>
      <c r="O454" s="33"/>
      <c r="P454" s="35"/>
      <c r="Q454" s="39"/>
      <c r="R454" s="39"/>
      <c r="S454" s="33"/>
      <c r="T454" s="33"/>
      <c r="U454" s="33"/>
      <c r="V454" s="33"/>
    </row>
    <row r="455" ht="14.25" spans="1:22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5"/>
      <c r="L455" s="36">
        <v>2668</v>
      </c>
      <c r="M455" s="37">
        <v>0.06</v>
      </c>
      <c r="N455" s="38" t="s">
        <v>1157</v>
      </c>
      <c r="O455" s="33"/>
      <c r="P455" s="35"/>
      <c r="Q455" s="39"/>
      <c r="R455" s="39"/>
      <c r="S455" s="33"/>
      <c r="T455" s="33"/>
      <c r="U455" s="33"/>
      <c r="V455" s="33"/>
    </row>
    <row r="456" ht="14.25" spans="1:22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5"/>
      <c r="L456" s="36">
        <v>2670</v>
      </c>
      <c r="M456" s="37">
        <v>0.06</v>
      </c>
      <c r="N456" s="38" t="s">
        <v>1158</v>
      </c>
      <c r="O456" s="33"/>
      <c r="P456" s="35"/>
      <c r="Q456" s="39"/>
      <c r="R456" s="39"/>
      <c r="S456" s="33"/>
      <c r="T456" s="33"/>
      <c r="U456" s="33"/>
      <c r="V456" s="33"/>
    </row>
    <row r="457" ht="14.25" spans="1:22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5"/>
      <c r="L457" s="36">
        <v>2671</v>
      </c>
      <c r="M457" s="37">
        <v>0.06</v>
      </c>
      <c r="N457" s="38" t="s">
        <v>1159</v>
      </c>
      <c r="O457" s="33"/>
      <c r="P457" s="35"/>
      <c r="Q457" s="39"/>
      <c r="R457" s="39"/>
      <c r="S457" s="33"/>
      <c r="T457" s="33"/>
      <c r="U457" s="33"/>
      <c r="V457" s="33"/>
    </row>
    <row r="458" ht="14.25" spans="1:22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5"/>
      <c r="L458" s="36">
        <v>2686</v>
      </c>
      <c r="M458" s="37">
        <v>0.06</v>
      </c>
      <c r="N458" s="38" t="s">
        <v>1160</v>
      </c>
      <c r="O458" s="33"/>
      <c r="P458" s="35"/>
      <c r="Q458" s="39"/>
      <c r="R458" s="39"/>
      <c r="S458" s="33"/>
      <c r="T458" s="33"/>
      <c r="U458" s="33"/>
      <c r="V458" s="33"/>
    </row>
    <row r="459" ht="14.25" spans="1:22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5"/>
      <c r="L459" s="36">
        <v>2687</v>
      </c>
      <c r="M459" s="37">
        <v>0.06</v>
      </c>
      <c r="N459" s="38" t="s">
        <v>1161</v>
      </c>
      <c r="O459" s="33"/>
      <c r="P459" s="35"/>
      <c r="Q459" s="39"/>
      <c r="R459" s="39"/>
      <c r="S459" s="33"/>
      <c r="T459" s="33"/>
      <c r="U459" s="33"/>
      <c r="V459" s="33"/>
    </row>
    <row r="460" ht="14.25" spans="1:22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5"/>
      <c r="L460" s="36">
        <v>2688</v>
      </c>
      <c r="M460" s="37">
        <v>0.06</v>
      </c>
      <c r="N460" s="38" t="s">
        <v>1162</v>
      </c>
      <c r="O460" s="33"/>
      <c r="P460" s="35"/>
      <c r="Q460" s="39"/>
      <c r="R460" s="39"/>
      <c r="S460" s="33"/>
      <c r="T460" s="33"/>
      <c r="U460" s="33"/>
      <c r="V460" s="33"/>
    </row>
    <row r="461" ht="14.25" spans="1:22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5"/>
      <c r="L461" s="36">
        <v>2689</v>
      </c>
      <c r="M461" s="37">
        <v>0.06</v>
      </c>
      <c r="N461" s="38" t="s">
        <v>1163</v>
      </c>
      <c r="O461" s="33"/>
      <c r="P461" s="35"/>
      <c r="Q461" s="39"/>
      <c r="R461" s="39"/>
      <c r="S461" s="33"/>
      <c r="T461" s="33"/>
      <c r="U461" s="33"/>
      <c r="V461" s="33"/>
    </row>
    <row r="462" ht="14.25" spans="1:2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5"/>
      <c r="L462" s="36">
        <v>2690</v>
      </c>
      <c r="M462" s="37">
        <v>0.06</v>
      </c>
      <c r="N462" s="38" t="s">
        <v>1164</v>
      </c>
      <c r="O462" s="33"/>
      <c r="P462" s="35"/>
      <c r="Q462" s="39"/>
      <c r="R462" s="39"/>
      <c r="S462" s="33"/>
      <c r="T462" s="33"/>
      <c r="U462" s="33"/>
      <c r="V462" s="33"/>
    </row>
    <row r="463" ht="14.25" spans="1:22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5"/>
      <c r="L463" s="36">
        <v>2691</v>
      </c>
      <c r="M463" s="37">
        <v>0.06</v>
      </c>
      <c r="N463" s="38" t="s">
        <v>1165</v>
      </c>
      <c r="O463" s="33"/>
      <c r="P463" s="35"/>
      <c r="Q463" s="39"/>
      <c r="R463" s="39"/>
      <c r="S463" s="33"/>
      <c r="T463" s="33"/>
      <c r="U463" s="33"/>
      <c r="V463" s="33"/>
    </row>
    <row r="464" ht="14.25" spans="1:22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5"/>
      <c r="L464" s="36">
        <v>2692</v>
      </c>
      <c r="M464" s="37">
        <v>0.06</v>
      </c>
      <c r="N464" s="38" t="s">
        <v>1166</v>
      </c>
      <c r="O464" s="33"/>
      <c r="P464" s="35"/>
      <c r="Q464" s="39"/>
      <c r="R464" s="39"/>
      <c r="S464" s="33"/>
      <c r="T464" s="33"/>
      <c r="U464" s="33"/>
      <c r="V464" s="33"/>
    </row>
    <row r="465" ht="14.25" spans="1:22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5"/>
      <c r="L465" s="36">
        <v>2693</v>
      </c>
      <c r="M465" s="37">
        <v>0.06</v>
      </c>
      <c r="N465" s="38" t="s">
        <v>1167</v>
      </c>
      <c r="O465" s="33"/>
      <c r="P465" s="35"/>
      <c r="Q465" s="39"/>
      <c r="R465" s="39"/>
      <c r="S465" s="33"/>
      <c r="T465" s="33"/>
      <c r="U465" s="33"/>
      <c r="V465" s="33"/>
    </row>
    <row r="466" ht="14.25" spans="1:22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5"/>
      <c r="L466" s="36">
        <v>2694</v>
      </c>
      <c r="M466" s="37">
        <v>0.06</v>
      </c>
      <c r="N466" s="38" t="s">
        <v>1168</v>
      </c>
      <c r="O466" s="33"/>
      <c r="P466" s="35"/>
      <c r="Q466" s="39"/>
      <c r="R466" s="39"/>
      <c r="S466" s="33"/>
      <c r="T466" s="33"/>
      <c r="U466" s="33"/>
      <c r="V466" s="33"/>
    </row>
    <row r="467" ht="14.25" spans="1:22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5"/>
      <c r="L467" s="36">
        <v>2695</v>
      </c>
      <c r="M467" s="37">
        <v>0.06</v>
      </c>
      <c r="N467" s="38" t="s">
        <v>1169</v>
      </c>
      <c r="O467" s="33"/>
      <c r="P467" s="35"/>
      <c r="Q467" s="39"/>
      <c r="R467" s="39"/>
      <c r="S467" s="33"/>
      <c r="T467" s="33"/>
      <c r="U467" s="33"/>
      <c r="V467" s="33"/>
    </row>
    <row r="468" ht="14.25" spans="1:22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5"/>
      <c r="L468" s="36">
        <v>2696</v>
      </c>
      <c r="M468" s="37">
        <v>0.06</v>
      </c>
      <c r="N468" s="38" t="s">
        <v>1170</v>
      </c>
      <c r="O468" s="33"/>
      <c r="P468" s="35"/>
      <c r="Q468" s="39"/>
      <c r="R468" s="39"/>
      <c r="S468" s="33"/>
      <c r="T468" s="33"/>
      <c r="U468" s="33"/>
      <c r="V468" s="33"/>
    </row>
    <row r="469" ht="14.25" spans="1:22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5"/>
      <c r="L469" s="36">
        <v>2697</v>
      </c>
      <c r="M469" s="37">
        <v>0.06</v>
      </c>
      <c r="N469" s="38" t="s">
        <v>1171</v>
      </c>
      <c r="O469" s="33"/>
      <c r="P469" s="35"/>
      <c r="Q469" s="39"/>
      <c r="R469" s="39"/>
      <c r="S469" s="33"/>
      <c r="T469" s="33"/>
      <c r="U469" s="33"/>
      <c r="V469" s="33"/>
    </row>
    <row r="470" ht="14.25" spans="1:22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5"/>
      <c r="L470" s="36">
        <v>2698</v>
      </c>
      <c r="M470" s="37">
        <v>0.06</v>
      </c>
      <c r="N470" s="38" t="s">
        <v>1172</v>
      </c>
      <c r="O470" s="33"/>
      <c r="P470" s="35"/>
      <c r="Q470" s="39"/>
      <c r="R470" s="39"/>
      <c r="S470" s="33"/>
      <c r="T470" s="33"/>
      <c r="U470" s="33"/>
      <c r="V470" s="33"/>
    </row>
    <row r="471" ht="14.25" spans="1:22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5"/>
      <c r="L471" s="36">
        <v>2699</v>
      </c>
      <c r="M471" s="37">
        <v>0.06</v>
      </c>
      <c r="N471" s="38" t="s">
        <v>1173</v>
      </c>
      <c r="O471" s="33"/>
      <c r="P471" s="35"/>
      <c r="Q471" s="39"/>
      <c r="R471" s="39"/>
      <c r="S471" s="33"/>
      <c r="T471" s="33"/>
      <c r="U471" s="33"/>
      <c r="V471" s="33"/>
    </row>
    <row r="472" ht="14.25" spans="1:2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5"/>
      <c r="L472" s="36">
        <v>2700</v>
      </c>
      <c r="M472" s="37">
        <v>0.06</v>
      </c>
      <c r="N472" s="38" t="s">
        <v>1174</v>
      </c>
      <c r="O472" s="33"/>
      <c r="P472" s="35"/>
      <c r="Q472" s="39"/>
      <c r="R472" s="39"/>
      <c r="S472" s="33"/>
      <c r="T472" s="33"/>
      <c r="U472" s="33"/>
      <c r="V472" s="33"/>
    </row>
    <row r="473" ht="14.25" spans="1:22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5"/>
      <c r="L473" s="36">
        <v>2701</v>
      </c>
      <c r="M473" s="37">
        <v>0.06</v>
      </c>
      <c r="N473" s="38" t="s">
        <v>1175</v>
      </c>
      <c r="O473" s="33"/>
      <c r="P473" s="35"/>
      <c r="Q473" s="39"/>
      <c r="R473" s="39"/>
      <c r="S473" s="33"/>
      <c r="T473" s="33"/>
      <c r="U473" s="33"/>
      <c r="V473" s="33"/>
    </row>
    <row r="474" ht="14.25" spans="1:22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5"/>
      <c r="L474" s="36">
        <v>2734</v>
      </c>
      <c r="M474" s="37">
        <v>0.06</v>
      </c>
      <c r="N474" s="38" t="s">
        <v>1176</v>
      </c>
      <c r="O474" s="33"/>
      <c r="P474" s="35"/>
      <c r="Q474" s="39"/>
      <c r="R474" s="39"/>
      <c r="S474" s="33"/>
      <c r="T474" s="33"/>
      <c r="U474" s="33"/>
      <c r="V474" s="33"/>
    </row>
    <row r="475" ht="14.25" spans="1:22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5"/>
      <c r="L475" s="36">
        <v>2751</v>
      </c>
      <c r="M475" s="37">
        <v>0.06</v>
      </c>
      <c r="N475" s="38" t="s">
        <v>1177</v>
      </c>
      <c r="O475" s="33"/>
      <c r="P475" s="35"/>
      <c r="Q475" s="39"/>
      <c r="R475" s="39"/>
      <c r="S475" s="33"/>
      <c r="T475" s="33"/>
      <c r="U475" s="33"/>
      <c r="V475" s="33"/>
    </row>
    <row r="476" ht="14.25" spans="1:22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5"/>
      <c r="L476" s="36">
        <v>2752</v>
      </c>
      <c r="M476" s="37">
        <v>0.06</v>
      </c>
      <c r="N476" s="38" t="s">
        <v>1178</v>
      </c>
      <c r="O476" s="33"/>
      <c r="P476" s="35"/>
      <c r="Q476" s="39"/>
      <c r="R476" s="39"/>
      <c r="S476" s="33"/>
      <c r="T476" s="33"/>
      <c r="U476" s="33"/>
      <c r="V476" s="33"/>
    </row>
    <row r="477" ht="14.25" spans="1:22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5"/>
      <c r="L477" s="36">
        <v>2754</v>
      </c>
      <c r="M477" s="37">
        <v>0.06</v>
      </c>
      <c r="N477" s="38" t="s">
        <v>1179</v>
      </c>
      <c r="O477" s="33"/>
      <c r="P477" s="35"/>
      <c r="Q477" s="39"/>
      <c r="R477" s="39"/>
      <c r="S477" s="33"/>
      <c r="T477" s="33"/>
      <c r="U477" s="33"/>
      <c r="V477" s="33"/>
    </row>
    <row r="478" ht="14.25" spans="1:22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5"/>
      <c r="L478" s="36">
        <v>2755</v>
      </c>
      <c r="M478" s="37">
        <v>0.06</v>
      </c>
      <c r="N478" s="38" t="s">
        <v>1180</v>
      </c>
      <c r="O478" s="33"/>
      <c r="P478" s="35"/>
      <c r="Q478" s="39"/>
      <c r="R478" s="39"/>
      <c r="S478" s="33"/>
      <c r="T478" s="33"/>
      <c r="U478" s="33"/>
      <c r="V478" s="33"/>
    </row>
    <row r="479" ht="14.25" spans="1:22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5"/>
      <c r="L479" s="36">
        <v>2756</v>
      </c>
      <c r="M479" s="37">
        <v>0.06</v>
      </c>
      <c r="N479" s="38" t="s">
        <v>1181</v>
      </c>
      <c r="O479" s="33"/>
      <c r="P479" s="35"/>
      <c r="Q479" s="39"/>
      <c r="R479" s="39"/>
      <c r="S479" s="33"/>
      <c r="T479" s="33"/>
      <c r="U479" s="33"/>
      <c r="V479" s="33"/>
    </row>
    <row r="480" ht="14.25" spans="1:22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5"/>
      <c r="L480" s="36">
        <v>2758</v>
      </c>
      <c r="M480" s="37">
        <v>0.06</v>
      </c>
      <c r="N480" s="38" t="s">
        <v>1182</v>
      </c>
      <c r="O480" s="33"/>
      <c r="P480" s="35"/>
      <c r="Q480" s="39"/>
      <c r="R480" s="39"/>
      <c r="S480" s="33"/>
      <c r="T480" s="33"/>
      <c r="U480" s="33"/>
      <c r="V480" s="33"/>
    </row>
    <row r="481" ht="14.25" spans="1:22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5"/>
      <c r="L481" s="36">
        <v>2759</v>
      </c>
      <c r="M481" s="37">
        <v>0.06</v>
      </c>
      <c r="N481" s="38" t="s">
        <v>1183</v>
      </c>
      <c r="O481" s="33"/>
      <c r="P481" s="35"/>
      <c r="Q481" s="39"/>
      <c r="R481" s="39"/>
      <c r="S481" s="33"/>
      <c r="T481" s="33"/>
      <c r="U481" s="33"/>
      <c r="V481" s="33"/>
    </row>
    <row r="482" ht="14.25" spans="1:2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5"/>
      <c r="L482" s="36">
        <v>2760</v>
      </c>
      <c r="M482" s="37">
        <v>0.06</v>
      </c>
      <c r="N482" s="38" t="s">
        <v>1184</v>
      </c>
      <c r="O482" s="33"/>
      <c r="P482" s="35"/>
      <c r="Q482" s="39"/>
      <c r="R482" s="39"/>
      <c r="S482" s="33"/>
      <c r="T482" s="33"/>
      <c r="U482" s="33"/>
      <c r="V482" s="33"/>
    </row>
    <row r="483" ht="14.25" spans="1:22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5"/>
      <c r="L483" s="36">
        <v>2761</v>
      </c>
      <c r="M483" s="37">
        <v>0.06</v>
      </c>
      <c r="N483" s="38" t="s">
        <v>1185</v>
      </c>
      <c r="O483" s="33"/>
      <c r="P483" s="35"/>
      <c r="Q483" s="39"/>
      <c r="R483" s="39"/>
      <c r="S483" s="33"/>
      <c r="T483" s="33"/>
      <c r="U483" s="33"/>
      <c r="V483" s="33"/>
    </row>
    <row r="484" ht="14.25" spans="1:22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5"/>
      <c r="L484" s="36">
        <v>2762</v>
      </c>
      <c r="M484" s="37">
        <v>0.06</v>
      </c>
      <c r="N484" s="38" t="s">
        <v>1186</v>
      </c>
      <c r="O484" s="33"/>
      <c r="P484" s="35"/>
      <c r="Q484" s="39"/>
      <c r="R484" s="39"/>
      <c r="S484" s="33"/>
      <c r="T484" s="33"/>
      <c r="U484" s="33"/>
      <c r="V484" s="33"/>
    </row>
    <row r="485" ht="14.25" spans="1:22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5"/>
      <c r="L485" s="36">
        <v>2769</v>
      </c>
      <c r="M485" s="37">
        <v>0.06</v>
      </c>
      <c r="N485" s="38" t="s">
        <v>1187</v>
      </c>
      <c r="O485" s="33"/>
      <c r="P485" s="35"/>
      <c r="Q485" s="39"/>
      <c r="R485" s="39"/>
      <c r="S485" s="33"/>
      <c r="T485" s="33"/>
      <c r="U485" s="33"/>
      <c r="V485" s="33"/>
    </row>
    <row r="486" ht="14.25" spans="1:22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5"/>
      <c r="L486" s="36">
        <v>2770</v>
      </c>
      <c r="M486" s="37">
        <v>0.06</v>
      </c>
      <c r="N486" s="38" t="s">
        <v>1188</v>
      </c>
      <c r="O486" s="33"/>
      <c r="P486" s="35"/>
      <c r="Q486" s="39"/>
      <c r="R486" s="39"/>
      <c r="S486" s="33"/>
      <c r="T486" s="33"/>
      <c r="U486" s="33"/>
      <c r="V486" s="33"/>
    </row>
    <row r="487" ht="14.25" spans="1:22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5"/>
      <c r="L487" s="36">
        <v>2772</v>
      </c>
      <c r="M487" s="37">
        <v>0.06</v>
      </c>
      <c r="N487" s="38" t="s">
        <v>1189</v>
      </c>
      <c r="O487" s="33"/>
      <c r="P487" s="35"/>
      <c r="Q487" s="39"/>
      <c r="R487" s="39"/>
      <c r="S487" s="33"/>
      <c r="T487" s="33"/>
      <c r="U487" s="33"/>
      <c r="V487" s="33"/>
    </row>
    <row r="488" ht="14.25" spans="1:22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5"/>
      <c r="L488" s="36">
        <v>2775</v>
      </c>
      <c r="M488" s="37">
        <v>0.06</v>
      </c>
      <c r="N488" s="38" t="s">
        <v>1190</v>
      </c>
      <c r="O488" s="33"/>
      <c r="P488" s="35"/>
      <c r="Q488" s="39"/>
      <c r="R488" s="39"/>
      <c r="S488" s="33"/>
      <c r="T488" s="33"/>
      <c r="U488" s="33"/>
      <c r="V488" s="33"/>
    </row>
    <row r="489" ht="14.25" spans="1:22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5"/>
      <c r="L489" s="36">
        <v>2776</v>
      </c>
      <c r="M489" s="37">
        <v>0.06</v>
      </c>
      <c r="N489" s="38" t="s">
        <v>1191</v>
      </c>
      <c r="O489" s="33"/>
      <c r="P489" s="35"/>
      <c r="Q489" s="39"/>
      <c r="R489" s="39"/>
      <c r="S489" s="33"/>
      <c r="T489" s="33"/>
      <c r="U489" s="33"/>
      <c r="V489" s="33"/>
    </row>
    <row r="490" ht="14.25" spans="1:22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5"/>
      <c r="L490" s="36">
        <v>2782</v>
      </c>
      <c r="M490" s="37">
        <v>0.06</v>
      </c>
      <c r="N490" s="38" t="s">
        <v>1192</v>
      </c>
      <c r="O490" s="33"/>
      <c r="P490" s="35"/>
      <c r="Q490" s="39"/>
      <c r="R490" s="39"/>
      <c r="S490" s="33"/>
      <c r="T490" s="33"/>
      <c r="U490" s="33"/>
      <c r="V490" s="33"/>
    </row>
    <row r="491" ht="14.25" spans="1:22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5"/>
      <c r="L491" s="36">
        <v>2783</v>
      </c>
      <c r="M491" s="37">
        <v>0.06</v>
      </c>
      <c r="N491" s="38" t="s">
        <v>1193</v>
      </c>
      <c r="O491" s="33"/>
      <c r="P491" s="35"/>
      <c r="Q491" s="39"/>
      <c r="R491" s="39"/>
      <c r="S491" s="33"/>
      <c r="T491" s="33"/>
      <c r="U491" s="33"/>
      <c r="V491" s="33"/>
    </row>
    <row r="492" ht="14.25" spans="1:2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5"/>
      <c r="L492" s="36">
        <v>2785</v>
      </c>
      <c r="M492" s="37">
        <v>0.06</v>
      </c>
      <c r="N492" s="38" t="s">
        <v>1194</v>
      </c>
      <c r="O492" s="33"/>
      <c r="P492" s="35"/>
      <c r="Q492" s="39"/>
      <c r="R492" s="39"/>
      <c r="S492" s="33"/>
      <c r="T492" s="33"/>
      <c r="U492" s="33"/>
      <c r="V492" s="33"/>
    </row>
    <row r="493" ht="14.25" spans="1:22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5"/>
      <c r="L493" s="36">
        <v>2786</v>
      </c>
      <c r="M493" s="37">
        <v>0.06</v>
      </c>
      <c r="N493" s="38" t="s">
        <v>1195</v>
      </c>
      <c r="O493" s="33"/>
      <c r="P493" s="35"/>
      <c r="Q493" s="39"/>
      <c r="R493" s="39"/>
      <c r="S493" s="33"/>
      <c r="T493" s="33"/>
      <c r="U493" s="33"/>
      <c r="V493" s="33"/>
    </row>
    <row r="494" ht="14.25" spans="1:22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5"/>
      <c r="L494" s="36">
        <v>2787</v>
      </c>
      <c r="M494" s="37">
        <v>0.06</v>
      </c>
      <c r="N494" s="38" t="s">
        <v>1196</v>
      </c>
      <c r="O494" s="33"/>
      <c r="P494" s="35"/>
      <c r="Q494" s="39"/>
      <c r="R494" s="39"/>
      <c r="S494" s="33"/>
      <c r="T494" s="33"/>
      <c r="U494" s="33"/>
      <c r="V494" s="33"/>
    </row>
    <row r="495" ht="14.25" spans="1:22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5"/>
      <c r="L495" s="36">
        <v>2788</v>
      </c>
      <c r="M495" s="37">
        <v>0.06</v>
      </c>
      <c r="N495" s="38" t="s">
        <v>1197</v>
      </c>
      <c r="O495" s="33"/>
      <c r="P495" s="35"/>
      <c r="Q495" s="39"/>
      <c r="R495" s="39"/>
      <c r="S495" s="33"/>
      <c r="T495" s="33"/>
      <c r="U495" s="33"/>
      <c r="V495" s="33"/>
    </row>
    <row r="496" ht="14.25" spans="1:22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5"/>
      <c r="L496" s="36">
        <v>2789</v>
      </c>
      <c r="M496" s="37">
        <v>0.06</v>
      </c>
      <c r="N496" s="38" t="s">
        <v>1198</v>
      </c>
      <c r="O496" s="33"/>
      <c r="P496" s="35"/>
      <c r="Q496" s="39"/>
      <c r="R496" s="39"/>
      <c r="S496" s="33"/>
      <c r="T496" s="33"/>
      <c r="U496" s="33"/>
      <c r="V496" s="33"/>
    </row>
    <row r="497" ht="14.25" spans="1:22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5"/>
      <c r="L497" s="36">
        <v>2790</v>
      </c>
      <c r="M497" s="37">
        <v>0.06</v>
      </c>
      <c r="N497" s="38" t="s">
        <v>1199</v>
      </c>
      <c r="O497" s="33"/>
      <c r="P497" s="35"/>
      <c r="Q497" s="39"/>
      <c r="R497" s="39"/>
      <c r="S497" s="33"/>
      <c r="T497" s="33"/>
      <c r="U497" s="33"/>
      <c r="V497" s="33"/>
    </row>
    <row r="498" ht="14.25" spans="1:22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5"/>
      <c r="L498" s="36">
        <v>2791</v>
      </c>
      <c r="M498" s="37">
        <v>0.06</v>
      </c>
      <c r="N498" s="38" t="s">
        <v>1200</v>
      </c>
      <c r="O498" s="33"/>
      <c r="P498" s="35"/>
      <c r="Q498" s="39"/>
      <c r="R498" s="39"/>
      <c r="S498" s="33"/>
      <c r="T498" s="33"/>
      <c r="U498" s="33"/>
      <c r="V498" s="33"/>
    </row>
    <row r="499" ht="14.25" spans="1:22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5"/>
      <c r="L499" s="36">
        <v>2792</v>
      </c>
      <c r="M499" s="37">
        <v>0.06</v>
      </c>
      <c r="N499" s="38" t="s">
        <v>1201</v>
      </c>
      <c r="O499" s="33"/>
      <c r="P499" s="35"/>
      <c r="Q499" s="39"/>
      <c r="R499" s="39"/>
      <c r="S499" s="33"/>
      <c r="T499" s="33"/>
      <c r="U499" s="33"/>
      <c r="V499" s="33"/>
    </row>
    <row r="500" ht="14.25" spans="1:22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5"/>
      <c r="L500" s="36">
        <v>2793</v>
      </c>
      <c r="M500" s="37">
        <v>0.06</v>
      </c>
      <c r="N500" s="38" t="s">
        <v>1202</v>
      </c>
      <c r="O500" s="33"/>
      <c r="P500" s="35"/>
      <c r="Q500" s="39"/>
      <c r="R500" s="39"/>
      <c r="S500" s="33"/>
      <c r="T500" s="33"/>
      <c r="U500" s="33"/>
      <c r="V500" s="33"/>
    </row>
    <row r="501" ht="14.25" spans="1:22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5"/>
      <c r="L501" s="36">
        <v>2794</v>
      </c>
      <c r="M501" s="37">
        <v>0.06</v>
      </c>
      <c r="N501" s="38" t="s">
        <v>1203</v>
      </c>
      <c r="O501" s="33"/>
      <c r="P501" s="35"/>
      <c r="Q501" s="39"/>
      <c r="R501" s="39"/>
      <c r="S501" s="33"/>
      <c r="T501" s="33"/>
      <c r="U501" s="33"/>
      <c r="V501" s="33"/>
    </row>
    <row r="502" ht="14.25" spans="1:2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5"/>
      <c r="L502" s="36">
        <v>2795</v>
      </c>
      <c r="M502" s="37">
        <v>0.06</v>
      </c>
      <c r="N502" s="38" t="s">
        <v>1204</v>
      </c>
      <c r="O502" s="33"/>
      <c r="P502" s="35"/>
      <c r="Q502" s="39"/>
      <c r="R502" s="39"/>
      <c r="S502" s="33"/>
      <c r="T502" s="33"/>
      <c r="U502" s="33"/>
      <c r="V502" s="33"/>
    </row>
    <row r="503" ht="14.25" spans="1:22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5"/>
      <c r="L503" s="36">
        <v>2796</v>
      </c>
      <c r="M503" s="37">
        <v>0.06</v>
      </c>
      <c r="N503" s="38" t="s">
        <v>1205</v>
      </c>
      <c r="O503" s="33"/>
      <c r="P503" s="35"/>
      <c r="Q503" s="39"/>
      <c r="R503" s="39"/>
      <c r="S503" s="33"/>
      <c r="T503" s="33"/>
      <c r="U503" s="33"/>
      <c r="V503" s="33"/>
    </row>
    <row r="504" ht="14.25" spans="1:22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5"/>
      <c r="L504" s="36">
        <v>2797</v>
      </c>
      <c r="M504" s="37">
        <v>0.06</v>
      </c>
      <c r="N504" s="38" t="s">
        <v>1206</v>
      </c>
      <c r="O504" s="33"/>
      <c r="P504" s="35"/>
      <c r="Q504" s="39"/>
      <c r="R504" s="39"/>
      <c r="S504" s="33"/>
      <c r="T504" s="33"/>
      <c r="U504" s="33"/>
      <c r="V504" s="33"/>
    </row>
    <row r="505" ht="14.25" spans="1:22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5"/>
      <c r="L505" s="36">
        <v>2798</v>
      </c>
      <c r="M505" s="37">
        <v>0.06</v>
      </c>
      <c r="N505" s="38" t="s">
        <v>1207</v>
      </c>
      <c r="O505" s="33"/>
      <c r="P505" s="35"/>
      <c r="Q505" s="39"/>
      <c r="R505" s="39"/>
      <c r="S505" s="33"/>
      <c r="T505" s="33"/>
      <c r="U505" s="33"/>
      <c r="V505" s="33"/>
    </row>
    <row r="506" ht="14.25" spans="1:22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5"/>
      <c r="L506" s="36">
        <v>2803</v>
      </c>
      <c r="M506" s="37">
        <v>0.06</v>
      </c>
      <c r="N506" s="38" t="s">
        <v>1208</v>
      </c>
      <c r="O506" s="33"/>
      <c r="P506" s="35"/>
      <c r="Q506" s="39"/>
      <c r="R506" s="39"/>
      <c r="S506" s="33"/>
      <c r="T506" s="33"/>
      <c r="U506" s="33"/>
      <c r="V506" s="33"/>
    </row>
    <row r="507" ht="14.25" spans="1:22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5"/>
      <c r="L507" s="36">
        <v>2804</v>
      </c>
      <c r="M507" s="37">
        <v>0.06</v>
      </c>
      <c r="N507" s="38" t="s">
        <v>1209</v>
      </c>
      <c r="O507" s="33"/>
      <c r="P507" s="35"/>
      <c r="Q507" s="39"/>
      <c r="R507" s="39"/>
      <c r="S507" s="33"/>
      <c r="T507" s="33"/>
      <c r="U507" s="33"/>
      <c r="V507" s="33"/>
    </row>
    <row r="508" ht="14.25" spans="1:22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5"/>
      <c r="L508" s="36">
        <v>2807</v>
      </c>
      <c r="M508" s="37">
        <v>0.06</v>
      </c>
      <c r="N508" s="38" t="s">
        <v>1210</v>
      </c>
      <c r="O508" s="33"/>
      <c r="P508" s="35"/>
      <c r="Q508" s="39"/>
      <c r="R508" s="39"/>
      <c r="S508" s="33"/>
      <c r="T508" s="33"/>
      <c r="U508" s="33"/>
      <c r="V508" s="33"/>
    </row>
    <row r="509" ht="14.25" spans="1:22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5"/>
      <c r="L509" s="36">
        <v>2809</v>
      </c>
      <c r="M509" s="37">
        <v>0.06</v>
      </c>
      <c r="N509" s="38" t="s">
        <v>1211</v>
      </c>
      <c r="O509" s="33"/>
      <c r="P509" s="35"/>
      <c r="Q509" s="39"/>
      <c r="R509" s="39"/>
      <c r="S509" s="33"/>
      <c r="T509" s="33"/>
      <c r="U509" s="33"/>
      <c r="V509" s="33"/>
    </row>
    <row r="510" ht="14.25" spans="1:22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5"/>
      <c r="L510" s="36">
        <v>2810</v>
      </c>
      <c r="M510" s="37">
        <v>0.06</v>
      </c>
      <c r="N510" s="38" t="s">
        <v>1212</v>
      </c>
      <c r="O510" s="33"/>
      <c r="P510" s="35"/>
      <c r="Q510" s="39"/>
      <c r="R510" s="39"/>
      <c r="S510" s="33"/>
      <c r="T510" s="33"/>
      <c r="U510" s="33"/>
      <c r="V510" s="33"/>
    </row>
    <row r="511" ht="14.25" spans="1:22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5"/>
      <c r="L511" s="36">
        <v>2811</v>
      </c>
      <c r="M511" s="37">
        <v>0.06</v>
      </c>
      <c r="N511" s="38" t="s">
        <v>1213</v>
      </c>
      <c r="O511" s="33"/>
      <c r="P511" s="35"/>
      <c r="Q511" s="39"/>
      <c r="R511" s="39"/>
      <c r="S511" s="33"/>
      <c r="T511" s="33"/>
      <c r="U511" s="33"/>
      <c r="V511" s="33"/>
    </row>
    <row r="512" ht="14.25" spans="1:2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5"/>
      <c r="L512" s="36">
        <v>2812</v>
      </c>
      <c r="M512" s="37">
        <v>0.06</v>
      </c>
      <c r="N512" s="38" t="s">
        <v>1214</v>
      </c>
      <c r="O512" s="33"/>
      <c r="P512" s="35"/>
      <c r="Q512" s="39"/>
      <c r="R512" s="39"/>
      <c r="S512" s="33"/>
      <c r="T512" s="33"/>
      <c r="U512" s="33"/>
      <c r="V512" s="33"/>
    </row>
    <row r="513" ht="14.25" spans="1:22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5"/>
      <c r="L513" s="36">
        <v>2813</v>
      </c>
      <c r="M513" s="37">
        <v>0.06</v>
      </c>
      <c r="N513" s="38" t="s">
        <v>1215</v>
      </c>
      <c r="O513" s="33"/>
      <c r="P513" s="35"/>
      <c r="Q513" s="39"/>
      <c r="R513" s="39"/>
      <c r="S513" s="33"/>
      <c r="T513" s="33"/>
      <c r="U513" s="33"/>
      <c r="V513" s="33"/>
    </row>
    <row r="514" ht="14.25" spans="1:22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5"/>
      <c r="L514" s="36">
        <v>2815</v>
      </c>
      <c r="M514" s="37">
        <v>0.06</v>
      </c>
      <c r="N514" s="38" t="s">
        <v>1216</v>
      </c>
      <c r="O514" s="33"/>
      <c r="P514" s="35"/>
      <c r="Q514" s="39"/>
      <c r="R514" s="39"/>
      <c r="S514" s="33"/>
      <c r="T514" s="33"/>
      <c r="U514" s="33"/>
      <c r="V514" s="33"/>
    </row>
    <row r="515" ht="14.25" spans="1:22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5"/>
      <c r="L515" s="36">
        <v>2816</v>
      </c>
      <c r="M515" s="37">
        <v>0.06</v>
      </c>
      <c r="N515" s="38" t="s">
        <v>1217</v>
      </c>
      <c r="O515" s="33"/>
      <c r="P515" s="35"/>
      <c r="Q515" s="39"/>
      <c r="R515" s="39"/>
      <c r="S515" s="33"/>
      <c r="T515" s="33"/>
      <c r="U515" s="33"/>
      <c r="V515" s="33"/>
    </row>
    <row r="516" ht="14.25" spans="1:22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5"/>
      <c r="L516" s="36">
        <v>2817</v>
      </c>
      <c r="M516" s="37">
        <v>0.06</v>
      </c>
      <c r="N516" s="38" t="s">
        <v>1215</v>
      </c>
      <c r="O516" s="33"/>
      <c r="P516" s="35"/>
      <c r="Q516" s="39"/>
      <c r="R516" s="39"/>
      <c r="S516" s="33"/>
      <c r="T516" s="33"/>
      <c r="U516" s="33"/>
      <c r="V516" s="33"/>
    </row>
    <row r="517" ht="14.25" spans="1:22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5"/>
      <c r="L517" s="36">
        <v>2819</v>
      </c>
      <c r="M517" s="37">
        <v>0.06</v>
      </c>
      <c r="N517" s="38" t="s">
        <v>1218</v>
      </c>
      <c r="O517" s="33"/>
      <c r="P517" s="35"/>
      <c r="Q517" s="39"/>
      <c r="R517" s="39"/>
      <c r="S517" s="33"/>
      <c r="T517" s="33"/>
      <c r="U517" s="33"/>
      <c r="V517" s="33"/>
    </row>
    <row r="518" ht="14.25" spans="1:22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5"/>
      <c r="L518" s="36">
        <v>2820</v>
      </c>
      <c r="M518" s="37">
        <v>0.06</v>
      </c>
      <c r="N518" s="38" t="s">
        <v>1219</v>
      </c>
      <c r="O518" s="33"/>
      <c r="P518" s="35"/>
      <c r="Q518" s="39"/>
      <c r="R518" s="39"/>
      <c r="S518" s="33"/>
      <c r="T518" s="33"/>
      <c r="U518" s="33"/>
      <c r="V518" s="33"/>
    </row>
    <row r="519" ht="14.25" spans="1:22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5"/>
      <c r="L519" s="36">
        <v>2821</v>
      </c>
      <c r="M519" s="37">
        <v>0.06</v>
      </c>
      <c r="N519" s="38" t="s">
        <v>1220</v>
      </c>
      <c r="O519" s="33"/>
      <c r="P519" s="35"/>
      <c r="Q519" s="39"/>
      <c r="R519" s="39"/>
      <c r="S519" s="33"/>
      <c r="T519" s="33"/>
      <c r="U519" s="33"/>
      <c r="V519" s="33"/>
    </row>
    <row r="520" ht="14.25" spans="1:22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5"/>
      <c r="L520" s="36">
        <v>2822</v>
      </c>
      <c r="M520" s="37">
        <v>0.06</v>
      </c>
      <c r="N520" s="38" t="s">
        <v>1221</v>
      </c>
      <c r="O520" s="33"/>
      <c r="P520" s="35"/>
      <c r="Q520" s="39"/>
      <c r="R520" s="39"/>
      <c r="S520" s="33"/>
      <c r="T520" s="33"/>
      <c r="U520" s="33"/>
      <c r="V520" s="33"/>
    </row>
    <row r="521" ht="14.25" spans="1:22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5"/>
      <c r="L521" s="36">
        <v>2824</v>
      </c>
      <c r="M521" s="37">
        <v>0.06</v>
      </c>
      <c r="N521" s="38" t="s">
        <v>1222</v>
      </c>
      <c r="O521" s="33"/>
      <c r="P521" s="35"/>
      <c r="Q521" s="39"/>
      <c r="R521" s="39"/>
      <c r="S521" s="33"/>
      <c r="T521" s="33"/>
      <c r="U521" s="33"/>
      <c r="V521" s="33"/>
    </row>
    <row r="522" ht="14.25" spans="1: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5"/>
      <c r="L522" s="36">
        <v>2825</v>
      </c>
      <c r="M522" s="37">
        <v>0.06</v>
      </c>
      <c r="N522" s="38" t="s">
        <v>1223</v>
      </c>
      <c r="O522" s="33"/>
      <c r="P522" s="35"/>
      <c r="Q522" s="39"/>
      <c r="R522" s="39"/>
      <c r="S522" s="33"/>
      <c r="T522" s="33"/>
      <c r="U522" s="33"/>
      <c r="V522" s="33"/>
    </row>
    <row r="523" ht="14.25" spans="1:22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5"/>
      <c r="L523" s="36">
        <v>2826</v>
      </c>
      <c r="M523" s="37">
        <v>0.06</v>
      </c>
      <c r="N523" s="38" t="s">
        <v>1224</v>
      </c>
      <c r="O523" s="33"/>
      <c r="P523" s="35"/>
      <c r="Q523" s="39"/>
      <c r="R523" s="39"/>
      <c r="S523" s="33"/>
      <c r="T523" s="33"/>
      <c r="U523" s="33"/>
      <c r="V523" s="33"/>
    </row>
    <row r="524" ht="14.25" spans="1:22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5"/>
      <c r="L524" s="36">
        <v>2827</v>
      </c>
      <c r="M524" s="37">
        <v>0.06</v>
      </c>
      <c r="N524" s="38" t="s">
        <v>1225</v>
      </c>
      <c r="O524" s="33"/>
      <c r="P524" s="35"/>
      <c r="Q524" s="39"/>
      <c r="R524" s="39"/>
      <c r="S524" s="33"/>
      <c r="T524" s="33"/>
      <c r="U524" s="33"/>
      <c r="V524" s="33"/>
    </row>
    <row r="525" ht="14.25" spans="1:22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5"/>
      <c r="L525" s="36">
        <v>2828</v>
      </c>
      <c r="M525" s="37">
        <v>0.06</v>
      </c>
      <c r="N525" s="38" t="s">
        <v>1226</v>
      </c>
      <c r="O525" s="33"/>
      <c r="P525" s="35"/>
      <c r="Q525" s="39"/>
      <c r="R525" s="39"/>
      <c r="S525" s="33"/>
      <c r="T525" s="33"/>
      <c r="U525" s="33"/>
      <c r="V525" s="33"/>
    </row>
    <row r="526" ht="14.25" spans="1:22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5"/>
      <c r="L526" s="36">
        <v>2833</v>
      </c>
      <c r="M526" s="37">
        <v>0.06</v>
      </c>
      <c r="N526" s="38" t="s">
        <v>1227</v>
      </c>
      <c r="O526" s="33"/>
      <c r="P526" s="35"/>
      <c r="Q526" s="39"/>
      <c r="R526" s="39"/>
      <c r="S526" s="33"/>
      <c r="T526" s="33"/>
      <c r="U526" s="33"/>
      <c r="V526" s="33"/>
    </row>
    <row r="527" ht="14.25" spans="1:22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5"/>
      <c r="L527" s="36">
        <v>2834</v>
      </c>
      <c r="M527" s="37">
        <v>0.06</v>
      </c>
      <c r="N527" s="38" t="s">
        <v>1228</v>
      </c>
      <c r="O527" s="33"/>
      <c r="P527" s="35"/>
      <c r="Q527" s="39"/>
      <c r="R527" s="39"/>
      <c r="S527" s="33"/>
      <c r="T527" s="33"/>
      <c r="U527" s="33"/>
      <c r="V527" s="33"/>
    </row>
    <row r="528" ht="14.25" spans="1:22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5"/>
      <c r="L528" s="36">
        <v>2835</v>
      </c>
      <c r="M528" s="37">
        <v>0.06</v>
      </c>
      <c r="N528" s="38" t="s">
        <v>1229</v>
      </c>
      <c r="O528" s="33"/>
      <c r="P528" s="35"/>
      <c r="Q528" s="39"/>
      <c r="R528" s="39"/>
      <c r="S528" s="33"/>
      <c r="T528" s="33"/>
      <c r="U528" s="33"/>
      <c r="V528" s="33"/>
    </row>
    <row r="529" ht="14.25" spans="1:22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5"/>
      <c r="L529" s="36">
        <v>2838</v>
      </c>
      <c r="M529" s="37">
        <v>0.06</v>
      </c>
      <c r="N529" s="38" t="s">
        <v>1230</v>
      </c>
      <c r="O529" s="33"/>
      <c r="P529" s="35"/>
      <c r="Q529" s="39"/>
      <c r="R529" s="39"/>
      <c r="S529" s="33"/>
      <c r="T529" s="33"/>
      <c r="U529" s="33"/>
      <c r="V529" s="33"/>
    </row>
    <row r="530" ht="14.25" spans="1:22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5"/>
      <c r="L530" s="36">
        <v>2839</v>
      </c>
      <c r="M530" s="37">
        <v>0.06</v>
      </c>
      <c r="N530" s="38" t="s">
        <v>1231</v>
      </c>
      <c r="O530" s="33"/>
      <c r="P530" s="35"/>
      <c r="Q530" s="39"/>
      <c r="R530" s="39"/>
      <c r="S530" s="33"/>
      <c r="T530" s="33"/>
      <c r="U530" s="33"/>
      <c r="V530" s="33"/>
    </row>
    <row r="531" ht="14.25" spans="1:22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5"/>
      <c r="L531" s="36">
        <v>2842</v>
      </c>
      <c r="M531" s="37">
        <v>0.06</v>
      </c>
      <c r="N531" s="38" t="s">
        <v>1232</v>
      </c>
      <c r="O531" s="33"/>
      <c r="P531" s="35"/>
      <c r="Q531" s="39"/>
      <c r="R531" s="39"/>
      <c r="S531" s="33"/>
      <c r="T531" s="33"/>
      <c r="U531" s="33"/>
      <c r="V531" s="33"/>
    </row>
    <row r="532" ht="14.25" spans="1:2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5"/>
      <c r="L532" s="36">
        <v>2843</v>
      </c>
      <c r="M532" s="37">
        <v>0.06</v>
      </c>
      <c r="N532" s="38" t="s">
        <v>1233</v>
      </c>
      <c r="O532" s="33"/>
      <c r="P532" s="35"/>
      <c r="Q532" s="39"/>
      <c r="R532" s="39"/>
      <c r="S532" s="33"/>
      <c r="T532" s="33"/>
      <c r="U532" s="33"/>
      <c r="V532" s="33"/>
    </row>
    <row r="533" ht="14.25" spans="1:22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5"/>
      <c r="L533" s="36">
        <v>2850</v>
      </c>
      <c r="M533" s="37">
        <v>0.06</v>
      </c>
      <c r="N533" s="38" t="s">
        <v>1234</v>
      </c>
      <c r="O533" s="33"/>
      <c r="P533" s="35"/>
      <c r="Q533" s="39"/>
      <c r="R533" s="39"/>
      <c r="S533" s="33"/>
      <c r="T533" s="33"/>
      <c r="U533" s="33"/>
      <c r="V533" s="33"/>
    </row>
    <row r="534" ht="14.25" spans="1:22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5"/>
      <c r="L534" s="36">
        <v>2851</v>
      </c>
      <c r="M534" s="37">
        <v>0.06</v>
      </c>
      <c r="N534" s="38" t="s">
        <v>1235</v>
      </c>
      <c r="O534" s="33"/>
      <c r="P534" s="35"/>
      <c r="Q534" s="39"/>
      <c r="R534" s="39"/>
      <c r="S534" s="33"/>
      <c r="T534" s="33"/>
      <c r="U534" s="33"/>
      <c r="V534" s="33"/>
    </row>
    <row r="535" ht="14.25" spans="1:22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5"/>
      <c r="L535" s="36">
        <v>2852</v>
      </c>
      <c r="M535" s="37">
        <v>0.06</v>
      </c>
      <c r="N535" s="38" t="s">
        <v>1236</v>
      </c>
      <c r="O535" s="33"/>
      <c r="P535" s="35"/>
      <c r="Q535" s="39"/>
      <c r="R535" s="39"/>
      <c r="S535" s="33"/>
      <c r="T535" s="33"/>
      <c r="U535" s="33"/>
      <c r="V535" s="33"/>
    </row>
    <row r="536" ht="14.25" spans="1:22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5"/>
      <c r="L536" s="36">
        <v>2853</v>
      </c>
      <c r="M536" s="37">
        <v>0.06</v>
      </c>
      <c r="N536" s="38" t="s">
        <v>1237</v>
      </c>
      <c r="O536" s="33"/>
      <c r="P536" s="35"/>
      <c r="Q536" s="39"/>
      <c r="R536" s="39"/>
      <c r="S536" s="33"/>
      <c r="T536" s="33"/>
      <c r="U536" s="33"/>
      <c r="V536" s="33"/>
    </row>
    <row r="537" ht="14.25" spans="1:22">
      <c r="A537" s="33"/>
      <c r="B537" s="33"/>
      <c r="C537" s="33"/>
      <c r="D537" s="40" t="s">
        <v>1238</v>
      </c>
      <c r="E537" s="33"/>
      <c r="F537" s="33"/>
      <c r="G537" s="33"/>
      <c r="H537" s="33"/>
      <c r="I537" s="33"/>
      <c r="J537" s="33"/>
      <c r="K537" s="35"/>
      <c r="L537" s="41">
        <v>2862</v>
      </c>
      <c r="M537" s="37">
        <v>0.06</v>
      </c>
      <c r="N537" s="38" t="s">
        <v>1239</v>
      </c>
      <c r="O537" s="33"/>
      <c r="P537" s="35"/>
      <c r="Q537" s="39"/>
      <c r="R537" s="39"/>
      <c r="S537" s="33"/>
      <c r="T537" s="33"/>
      <c r="U537" s="33"/>
      <c r="V537" s="33"/>
    </row>
    <row r="538" ht="14.25" spans="1:22">
      <c r="A538" s="33"/>
      <c r="B538" s="33"/>
      <c r="C538" s="33"/>
      <c r="D538" s="40" t="s">
        <v>1240</v>
      </c>
      <c r="E538" s="33"/>
      <c r="F538" s="33"/>
      <c r="G538" s="33"/>
      <c r="H538" s="33"/>
      <c r="I538" s="33"/>
      <c r="J538" s="33"/>
      <c r="K538" s="35"/>
      <c r="L538" s="41">
        <v>2863</v>
      </c>
      <c r="M538" s="37">
        <v>0.06</v>
      </c>
      <c r="N538" s="38" t="s">
        <v>1241</v>
      </c>
      <c r="O538" s="33"/>
      <c r="P538" s="35"/>
      <c r="Q538" s="39"/>
      <c r="R538" s="39"/>
      <c r="S538" s="33"/>
      <c r="T538" s="33"/>
      <c r="U538" s="33"/>
      <c r="V538" s="33"/>
    </row>
    <row r="539" ht="14.25" spans="1:22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5"/>
      <c r="L539" s="36">
        <v>2864</v>
      </c>
      <c r="M539" s="37">
        <v>0.06</v>
      </c>
      <c r="N539" s="38" t="s">
        <v>1242</v>
      </c>
      <c r="O539" s="33"/>
      <c r="P539" s="35"/>
      <c r="Q539" s="39"/>
      <c r="R539" s="39"/>
      <c r="S539" s="33"/>
      <c r="T539" s="33"/>
      <c r="U539" s="33"/>
      <c r="V539" s="33"/>
    </row>
    <row r="540" ht="14.25" spans="1:22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5"/>
      <c r="L540" s="36">
        <v>2865</v>
      </c>
      <c r="M540" s="37">
        <v>0.06</v>
      </c>
      <c r="N540" s="38" t="s">
        <v>1243</v>
      </c>
      <c r="O540" s="33"/>
      <c r="P540" s="35"/>
      <c r="Q540" s="39"/>
      <c r="R540" s="39"/>
      <c r="S540" s="33"/>
      <c r="T540" s="33"/>
      <c r="U540" s="33"/>
      <c r="V540" s="33"/>
    </row>
    <row r="541" ht="14.25" spans="1:22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5"/>
      <c r="L541" s="36">
        <v>2870</v>
      </c>
      <c r="M541" s="37">
        <v>0.06</v>
      </c>
      <c r="N541" s="38" t="s">
        <v>1244</v>
      </c>
      <c r="O541" s="33"/>
      <c r="P541" s="35"/>
      <c r="Q541" s="39"/>
      <c r="R541" s="39"/>
      <c r="S541" s="33"/>
      <c r="T541" s="33"/>
      <c r="U541" s="33"/>
      <c r="V541" s="33"/>
    </row>
    <row r="542" ht="14.25" spans="1:2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5"/>
      <c r="L542" s="36">
        <v>2871</v>
      </c>
      <c r="M542" s="37">
        <v>0.06</v>
      </c>
      <c r="N542" s="38" t="s">
        <v>1245</v>
      </c>
      <c r="O542" s="33"/>
      <c r="P542" s="35"/>
      <c r="Q542" s="39"/>
      <c r="R542" s="39"/>
      <c r="S542" s="33"/>
      <c r="T542" s="33"/>
      <c r="U542" s="33"/>
      <c r="V542" s="33"/>
    </row>
    <row r="543" ht="14.25" spans="1:22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5"/>
      <c r="L543" s="36">
        <v>2872</v>
      </c>
      <c r="M543" s="37">
        <v>0.06</v>
      </c>
      <c r="N543" s="38" t="s">
        <v>1246</v>
      </c>
      <c r="O543" s="33"/>
      <c r="P543" s="35"/>
      <c r="Q543" s="39"/>
      <c r="R543" s="39"/>
      <c r="S543" s="33"/>
      <c r="T543" s="33"/>
      <c r="U543" s="33"/>
      <c r="V543" s="33"/>
    </row>
    <row r="544" ht="14.25" spans="1:22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5"/>
      <c r="L544" s="36">
        <v>2873</v>
      </c>
      <c r="M544" s="37">
        <v>0.06</v>
      </c>
      <c r="N544" s="38" t="s">
        <v>1247</v>
      </c>
      <c r="O544" s="33"/>
      <c r="P544" s="35"/>
      <c r="Q544" s="39"/>
      <c r="R544" s="39"/>
      <c r="S544" s="33"/>
      <c r="T544" s="33"/>
      <c r="U544" s="33"/>
      <c r="V544" s="33"/>
    </row>
    <row r="545" ht="14.25" spans="1:22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5"/>
      <c r="L545" s="36">
        <v>2874</v>
      </c>
      <c r="M545" s="37">
        <v>0.06</v>
      </c>
      <c r="N545" s="38" t="s">
        <v>1248</v>
      </c>
      <c r="O545" s="33"/>
      <c r="P545" s="35"/>
      <c r="Q545" s="39"/>
      <c r="R545" s="39"/>
      <c r="S545" s="33"/>
      <c r="T545" s="33"/>
      <c r="U545" s="33"/>
      <c r="V545" s="33"/>
    </row>
    <row r="546" ht="14.25" spans="1:22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5"/>
      <c r="L546" s="36">
        <v>2875</v>
      </c>
      <c r="M546" s="37">
        <v>0.06</v>
      </c>
      <c r="N546" s="38" t="s">
        <v>1249</v>
      </c>
      <c r="O546" s="33"/>
      <c r="P546" s="35"/>
      <c r="Q546" s="39"/>
      <c r="R546" s="39"/>
      <c r="S546" s="33"/>
      <c r="T546" s="33"/>
      <c r="U546" s="33"/>
      <c r="V546" s="33"/>
    </row>
    <row r="547" ht="14.25" spans="1:22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5"/>
      <c r="L547" s="36">
        <v>2876</v>
      </c>
      <c r="M547" s="37">
        <v>0.06</v>
      </c>
      <c r="N547" s="38" t="s">
        <v>1250</v>
      </c>
      <c r="O547" s="33"/>
      <c r="P547" s="35"/>
      <c r="Q547" s="39"/>
      <c r="R547" s="39"/>
      <c r="S547" s="33"/>
      <c r="T547" s="33"/>
      <c r="U547" s="33"/>
      <c r="V547" s="33"/>
    </row>
    <row r="548" ht="14.25" spans="1:22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5"/>
      <c r="L548" s="36">
        <v>2877</v>
      </c>
      <c r="M548" s="37">
        <v>0.06</v>
      </c>
      <c r="N548" s="38" t="s">
        <v>1251</v>
      </c>
      <c r="O548" s="33"/>
      <c r="P548" s="35"/>
      <c r="Q548" s="39"/>
      <c r="R548" s="39"/>
      <c r="S548" s="33"/>
      <c r="T548" s="33"/>
      <c r="U548" s="33"/>
      <c r="V548" s="33"/>
    </row>
    <row r="549" ht="14.25" spans="1:22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5"/>
      <c r="L549" s="36">
        <v>2878</v>
      </c>
      <c r="M549" s="37">
        <v>0.06</v>
      </c>
      <c r="N549" s="38" t="s">
        <v>1252</v>
      </c>
      <c r="O549" s="33"/>
      <c r="P549" s="35"/>
      <c r="Q549" s="39"/>
      <c r="R549" s="39"/>
      <c r="S549" s="33"/>
      <c r="T549" s="33"/>
      <c r="U549" s="33"/>
      <c r="V549" s="33"/>
    </row>
    <row r="550" ht="14.25" spans="1:22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5"/>
      <c r="L550" s="36">
        <v>2879</v>
      </c>
      <c r="M550" s="37">
        <v>0.06</v>
      </c>
      <c r="N550" s="38" t="s">
        <v>1253</v>
      </c>
      <c r="O550" s="33"/>
      <c r="P550" s="35"/>
      <c r="Q550" s="39"/>
      <c r="R550" s="39"/>
      <c r="S550" s="33"/>
      <c r="T550" s="33"/>
      <c r="U550" s="33"/>
      <c r="V550" s="33"/>
    </row>
    <row r="551" ht="14.25" spans="1:22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5"/>
      <c r="L551" s="36">
        <v>2880</v>
      </c>
      <c r="M551" s="37">
        <v>0.06</v>
      </c>
      <c r="N551" s="38" t="s">
        <v>1254</v>
      </c>
      <c r="O551" s="33"/>
      <c r="P551" s="35"/>
      <c r="Q551" s="39"/>
      <c r="R551" s="39"/>
      <c r="S551" s="33"/>
      <c r="T551" s="33"/>
      <c r="U551" s="33"/>
      <c r="V551" s="33"/>
    </row>
    <row r="552" ht="14.25" spans="1:2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5"/>
      <c r="L552" s="36">
        <v>2881</v>
      </c>
      <c r="M552" s="37">
        <v>0.06</v>
      </c>
      <c r="N552" s="38" t="s">
        <v>1255</v>
      </c>
      <c r="O552" s="33"/>
      <c r="P552" s="35"/>
      <c r="Q552" s="39"/>
      <c r="R552" s="39"/>
      <c r="S552" s="33"/>
      <c r="T552" s="33"/>
      <c r="U552" s="33"/>
      <c r="V552" s="33"/>
    </row>
    <row r="553" ht="14.25" spans="1:22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5"/>
      <c r="L553" s="36">
        <v>2882</v>
      </c>
      <c r="M553" s="37">
        <v>0.06</v>
      </c>
      <c r="N553" s="38" t="s">
        <v>1256</v>
      </c>
      <c r="O553" s="33"/>
      <c r="P553" s="35"/>
      <c r="Q553" s="39"/>
      <c r="R553" s="39"/>
      <c r="S553" s="33"/>
      <c r="T553" s="33"/>
      <c r="U553" s="33"/>
      <c r="V553" s="33"/>
    </row>
    <row r="554" ht="14.25" spans="1:22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5"/>
      <c r="L554" s="36">
        <v>2883</v>
      </c>
      <c r="M554" s="37">
        <v>0.06</v>
      </c>
      <c r="N554" s="38" t="s">
        <v>1257</v>
      </c>
      <c r="O554" s="33"/>
      <c r="P554" s="35"/>
      <c r="Q554" s="39"/>
      <c r="R554" s="39"/>
      <c r="S554" s="33"/>
      <c r="T554" s="33"/>
      <c r="U554" s="33"/>
      <c r="V554" s="33"/>
    </row>
    <row r="555" ht="14.25" spans="1:22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5"/>
      <c r="L555" s="36">
        <v>2884</v>
      </c>
      <c r="M555" s="37">
        <v>0.06</v>
      </c>
      <c r="N555" s="38" t="s">
        <v>1258</v>
      </c>
      <c r="O555" s="33"/>
      <c r="P555" s="35"/>
      <c r="Q555" s="39"/>
      <c r="R555" s="39"/>
      <c r="S555" s="33"/>
      <c r="T555" s="33"/>
      <c r="U555" s="33"/>
      <c r="V555" s="33"/>
    </row>
    <row r="556" ht="14.25" spans="1:22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5"/>
      <c r="L556" s="36">
        <v>2885</v>
      </c>
      <c r="M556" s="37">
        <v>0.06</v>
      </c>
      <c r="N556" s="38" t="s">
        <v>1259</v>
      </c>
      <c r="O556" s="33"/>
      <c r="P556" s="35"/>
      <c r="Q556" s="39"/>
      <c r="R556" s="39"/>
      <c r="S556" s="33"/>
      <c r="T556" s="33"/>
      <c r="U556" s="33"/>
      <c r="V556" s="33"/>
    </row>
    <row r="557" ht="14.25" spans="1:22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5"/>
      <c r="L557" s="36">
        <v>2886</v>
      </c>
      <c r="M557" s="37">
        <v>0.06</v>
      </c>
      <c r="N557" s="38" t="s">
        <v>1260</v>
      </c>
      <c r="O557" s="33"/>
      <c r="P557" s="35"/>
      <c r="Q557" s="39"/>
      <c r="R557" s="39"/>
      <c r="S557" s="33"/>
      <c r="T557" s="33"/>
      <c r="U557" s="33"/>
      <c r="V557" s="33"/>
    </row>
    <row r="558" ht="14.25" spans="1:22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5"/>
      <c r="L558" s="36">
        <v>2887</v>
      </c>
      <c r="M558" s="37">
        <v>0.06</v>
      </c>
      <c r="N558" s="38" t="s">
        <v>1261</v>
      </c>
      <c r="O558" s="33"/>
      <c r="P558" s="35"/>
      <c r="Q558" s="39"/>
      <c r="R558" s="39"/>
      <c r="S558" s="33"/>
      <c r="T558" s="33"/>
      <c r="U558" s="33"/>
      <c r="V558" s="33"/>
    </row>
    <row r="559" ht="14.25" spans="1:22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5"/>
      <c r="L559" s="36">
        <v>2893</v>
      </c>
      <c r="M559" s="37">
        <v>0.06</v>
      </c>
      <c r="N559" s="38" t="s">
        <v>1262</v>
      </c>
      <c r="O559" s="33"/>
      <c r="P559" s="35"/>
      <c r="Q559" s="39"/>
      <c r="R559" s="39"/>
      <c r="S559" s="33"/>
      <c r="T559" s="33"/>
      <c r="U559" s="33"/>
      <c r="V559" s="33"/>
    </row>
    <row r="560" ht="14.25" spans="1:22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5"/>
      <c r="L560" s="36">
        <v>2894</v>
      </c>
      <c r="M560" s="37">
        <v>0.06</v>
      </c>
      <c r="N560" s="38" t="s">
        <v>1262</v>
      </c>
      <c r="O560" s="33"/>
      <c r="P560" s="35"/>
      <c r="Q560" s="39"/>
      <c r="R560" s="39"/>
      <c r="S560" s="33"/>
      <c r="T560" s="33"/>
      <c r="U560" s="33"/>
      <c r="V560" s="33"/>
    </row>
    <row r="561" ht="14.25" spans="1:22">
      <c r="A561" s="33"/>
      <c r="B561" s="33"/>
      <c r="C561" s="33"/>
      <c r="D561" s="40" t="s">
        <v>1263</v>
      </c>
      <c r="E561" s="33"/>
      <c r="F561" s="33"/>
      <c r="G561" s="33"/>
      <c r="H561" s="33"/>
      <c r="I561" s="33"/>
      <c r="J561" s="33"/>
      <c r="K561" s="35"/>
      <c r="L561" s="41">
        <v>2895</v>
      </c>
      <c r="M561" s="37">
        <v>0.06</v>
      </c>
      <c r="N561" s="38" t="s">
        <v>1264</v>
      </c>
      <c r="O561" s="33"/>
      <c r="P561" s="35"/>
      <c r="Q561" s="39"/>
      <c r="R561" s="39"/>
      <c r="S561" s="33"/>
      <c r="T561" s="33"/>
      <c r="U561" s="33"/>
      <c r="V561" s="33"/>
    </row>
    <row r="562" ht="14.25" spans="1:2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5"/>
      <c r="L562" s="36">
        <v>2898</v>
      </c>
      <c r="M562" s="37">
        <v>0.06</v>
      </c>
      <c r="N562" s="38" t="s">
        <v>1265</v>
      </c>
      <c r="O562" s="33"/>
      <c r="P562" s="35"/>
      <c r="Q562" s="39"/>
      <c r="R562" s="39"/>
      <c r="S562" s="33"/>
      <c r="T562" s="33"/>
      <c r="U562" s="33"/>
      <c r="V562" s="33"/>
    </row>
    <row r="563" ht="14.25" spans="1:22">
      <c r="A563" s="33"/>
      <c r="B563" s="33"/>
      <c r="C563" s="33"/>
      <c r="D563" s="40" t="s">
        <v>1266</v>
      </c>
      <c r="E563" s="33"/>
      <c r="F563" s="33"/>
      <c r="G563" s="33"/>
      <c r="H563" s="33"/>
      <c r="I563" s="33"/>
      <c r="J563" s="33"/>
      <c r="K563" s="35"/>
      <c r="L563" s="41">
        <v>2899</v>
      </c>
      <c r="M563" s="37">
        <v>0.06</v>
      </c>
      <c r="N563" s="38" t="s">
        <v>1267</v>
      </c>
      <c r="O563" s="33"/>
      <c r="P563" s="35"/>
      <c r="Q563" s="39"/>
      <c r="R563" s="39"/>
      <c r="S563" s="33"/>
      <c r="T563" s="33"/>
      <c r="U563" s="33"/>
      <c r="V563" s="33"/>
    </row>
    <row r="564" ht="14.25" spans="1:22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5"/>
      <c r="L564" s="36">
        <v>2901</v>
      </c>
      <c r="M564" s="37">
        <v>0.06</v>
      </c>
      <c r="N564" s="38" t="s">
        <v>1268</v>
      </c>
      <c r="O564" s="33"/>
      <c r="P564" s="35"/>
      <c r="Q564" s="39"/>
      <c r="R564" s="39"/>
      <c r="S564" s="33"/>
      <c r="T564" s="33"/>
      <c r="U564" s="33"/>
      <c r="V564" s="33"/>
    </row>
    <row r="565" ht="14.25" spans="1:22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5"/>
      <c r="L565" s="36">
        <v>2904</v>
      </c>
      <c r="M565" s="37">
        <v>0.06</v>
      </c>
      <c r="N565" s="38" t="s">
        <v>1269</v>
      </c>
      <c r="O565" s="33"/>
      <c r="P565" s="35"/>
      <c r="Q565" s="39"/>
      <c r="R565" s="39"/>
      <c r="S565" s="33"/>
      <c r="T565" s="33"/>
      <c r="U565" s="33"/>
      <c r="V565" s="33"/>
    </row>
    <row r="566" ht="14.25" spans="1:22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5"/>
      <c r="L566" s="36">
        <v>2905</v>
      </c>
      <c r="M566" s="37">
        <v>0.06</v>
      </c>
      <c r="N566" s="38" t="s">
        <v>1270</v>
      </c>
      <c r="O566" s="33"/>
      <c r="P566" s="35"/>
      <c r="Q566" s="39"/>
      <c r="R566" s="39"/>
      <c r="S566" s="33"/>
      <c r="T566" s="33"/>
      <c r="U566" s="33"/>
      <c r="V566" s="33"/>
    </row>
    <row r="567" ht="14.25" spans="1:22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5"/>
      <c r="L567" s="36">
        <v>2907</v>
      </c>
      <c r="M567" s="37">
        <v>0.06</v>
      </c>
      <c r="N567" s="38" t="s">
        <v>1271</v>
      </c>
      <c r="O567" s="33"/>
      <c r="P567" s="35"/>
      <c r="Q567" s="39"/>
      <c r="R567" s="39"/>
      <c r="S567" s="33"/>
      <c r="T567" s="33"/>
      <c r="U567" s="33"/>
      <c r="V567" s="33"/>
    </row>
    <row r="568" ht="14.25" spans="1:22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5"/>
      <c r="L568" s="36">
        <v>2908</v>
      </c>
      <c r="M568" s="37">
        <v>0.06</v>
      </c>
      <c r="N568" s="38" t="s">
        <v>1272</v>
      </c>
      <c r="O568" s="33"/>
      <c r="P568" s="35"/>
      <c r="Q568" s="39"/>
      <c r="R568" s="39"/>
      <c r="S568" s="33"/>
      <c r="T568" s="33"/>
      <c r="U568" s="33"/>
      <c r="V568" s="33"/>
    </row>
    <row r="569" ht="14.25" spans="1:22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5"/>
      <c r="L569" s="36">
        <v>2910</v>
      </c>
      <c r="M569" s="37">
        <v>0.06</v>
      </c>
      <c r="N569" s="38" t="s">
        <v>1273</v>
      </c>
      <c r="O569" s="33"/>
      <c r="P569" s="35"/>
      <c r="Q569" s="39"/>
      <c r="R569" s="39"/>
      <c r="S569" s="33"/>
      <c r="T569" s="33"/>
      <c r="U569" s="33"/>
      <c r="V569" s="33"/>
    </row>
    <row r="570" ht="14.25" spans="1:22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5"/>
      <c r="L570" s="36">
        <v>2911</v>
      </c>
      <c r="M570" s="37">
        <v>0.06</v>
      </c>
      <c r="N570" s="38" t="s">
        <v>1274</v>
      </c>
      <c r="O570" s="33"/>
      <c r="P570" s="35"/>
      <c r="Q570" s="39"/>
      <c r="R570" s="39"/>
      <c r="S570" s="33"/>
      <c r="T570" s="33"/>
      <c r="U570" s="33"/>
      <c r="V570" s="33"/>
    </row>
    <row r="571" ht="14.25" spans="1:22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5"/>
      <c r="L571" s="36">
        <v>2913</v>
      </c>
      <c r="M571" s="37">
        <v>0.06</v>
      </c>
      <c r="N571" s="38" t="s">
        <v>1275</v>
      </c>
      <c r="O571" s="33"/>
      <c r="P571" s="35"/>
      <c r="Q571" s="39"/>
      <c r="R571" s="39"/>
      <c r="S571" s="33"/>
      <c r="T571" s="33"/>
      <c r="U571" s="33"/>
      <c r="V571" s="33"/>
    </row>
    <row r="572" ht="14.25" spans="1:2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5"/>
      <c r="L572" s="36">
        <v>2915</v>
      </c>
      <c r="M572" s="37">
        <v>0.06</v>
      </c>
      <c r="N572" s="38" t="s">
        <v>1276</v>
      </c>
      <c r="O572" s="33"/>
      <c r="P572" s="35"/>
      <c r="Q572" s="39"/>
      <c r="R572" s="39"/>
      <c r="S572" s="33"/>
      <c r="T572" s="33"/>
      <c r="U572" s="33"/>
      <c r="V572" s="33"/>
    </row>
    <row r="573" ht="14.25" spans="1:22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5"/>
      <c r="L573" s="36">
        <v>2916</v>
      </c>
      <c r="M573" s="37">
        <v>0.06</v>
      </c>
      <c r="N573" s="38" t="s">
        <v>1277</v>
      </c>
      <c r="O573" s="33"/>
      <c r="P573" s="35"/>
      <c r="Q573" s="39"/>
      <c r="R573" s="39"/>
      <c r="S573" s="33"/>
      <c r="T573" s="33"/>
      <c r="U573" s="33"/>
      <c r="V573" s="33"/>
    </row>
    <row r="574" ht="14.25" spans="1:22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5"/>
      <c r="L574" s="36">
        <v>2917</v>
      </c>
      <c r="M574" s="37">
        <v>0.06</v>
      </c>
      <c r="N574" s="38" t="s">
        <v>1278</v>
      </c>
      <c r="O574" s="33"/>
      <c r="P574" s="35"/>
      <c r="Q574" s="39"/>
      <c r="R574" s="39"/>
      <c r="S574" s="33"/>
      <c r="T574" s="33"/>
      <c r="U574" s="33"/>
      <c r="V574" s="33"/>
    </row>
    <row r="575" ht="14.25" spans="1:22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5"/>
      <c r="L575" s="36">
        <v>2918</v>
      </c>
      <c r="M575" s="37">
        <v>0.06</v>
      </c>
      <c r="N575" s="38" t="s">
        <v>1279</v>
      </c>
      <c r="O575" s="33"/>
      <c r="P575" s="35"/>
      <c r="Q575" s="39"/>
      <c r="R575" s="39"/>
      <c r="S575" s="33"/>
      <c r="T575" s="33"/>
      <c r="U575" s="33"/>
      <c r="V575" s="33"/>
    </row>
    <row r="576" ht="14.25" spans="1:22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5"/>
      <c r="L576" s="36">
        <v>2919</v>
      </c>
      <c r="M576" s="37">
        <v>0.06</v>
      </c>
      <c r="N576" s="38" t="s">
        <v>1262</v>
      </c>
      <c r="O576" s="33"/>
      <c r="P576" s="35"/>
      <c r="Q576" s="39"/>
      <c r="R576" s="39"/>
      <c r="S576" s="33"/>
      <c r="T576" s="33"/>
      <c r="U576" s="33"/>
      <c r="V576" s="33"/>
    </row>
    <row r="577" ht="14.25" spans="1:22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5"/>
      <c r="L577" s="36">
        <v>2920</v>
      </c>
      <c r="M577" s="37">
        <v>0.06</v>
      </c>
      <c r="N577" s="38" t="s">
        <v>1262</v>
      </c>
      <c r="O577" s="33"/>
      <c r="P577" s="35"/>
      <c r="Q577" s="39"/>
      <c r="R577" s="39"/>
      <c r="S577" s="33"/>
      <c r="T577" s="33"/>
      <c r="U577" s="33"/>
      <c r="V577" s="33"/>
    </row>
    <row r="578" ht="14.25" spans="1:22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5"/>
      <c r="L578" s="36">
        <v>2921</v>
      </c>
      <c r="M578" s="37">
        <v>0.06</v>
      </c>
      <c r="N578" s="38" t="s">
        <v>1262</v>
      </c>
      <c r="O578" s="33"/>
      <c r="P578" s="35"/>
      <c r="Q578" s="39"/>
      <c r="R578" s="39"/>
      <c r="S578" s="33"/>
      <c r="T578" s="33"/>
      <c r="U578" s="33"/>
      <c r="V578" s="33"/>
    </row>
    <row r="579" ht="14.25" spans="1:22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5"/>
      <c r="L579" s="36">
        <v>2922</v>
      </c>
      <c r="M579" s="37">
        <v>0.06</v>
      </c>
      <c r="N579" s="38" t="s">
        <v>1280</v>
      </c>
      <c r="O579" s="33"/>
      <c r="P579" s="35"/>
      <c r="Q579" s="39"/>
      <c r="R579" s="39"/>
      <c r="S579" s="33"/>
      <c r="T579" s="33"/>
      <c r="U579" s="33"/>
      <c r="V579" s="33"/>
    </row>
    <row r="580" ht="14.25" spans="1:22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5"/>
      <c r="L580" s="36">
        <v>2923</v>
      </c>
      <c r="M580" s="37">
        <v>0.06</v>
      </c>
      <c r="N580" s="38" t="s">
        <v>1280</v>
      </c>
      <c r="O580" s="33"/>
      <c r="P580" s="35"/>
      <c r="Q580" s="39"/>
      <c r="R580" s="39"/>
      <c r="S580" s="33"/>
      <c r="T580" s="33"/>
      <c r="U580" s="33"/>
      <c r="V580" s="33"/>
    </row>
    <row r="581" ht="14.25" spans="1:22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5"/>
      <c r="L581" s="36">
        <v>2924</v>
      </c>
      <c r="M581" s="37">
        <v>0.06</v>
      </c>
      <c r="N581" s="38" t="s">
        <v>1280</v>
      </c>
      <c r="O581" s="33"/>
      <c r="P581" s="35"/>
      <c r="Q581" s="39"/>
      <c r="R581" s="39"/>
      <c r="S581" s="33"/>
      <c r="T581" s="33"/>
      <c r="U581" s="33"/>
      <c r="V581" s="33"/>
    </row>
    <row r="582" ht="14.25" spans="1:2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5"/>
      <c r="L582" s="36">
        <v>2925</v>
      </c>
      <c r="M582" s="37">
        <v>0.06</v>
      </c>
      <c r="N582" s="38" t="s">
        <v>1281</v>
      </c>
      <c r="O582" s="33"/>
      <c r="P582" s="35"/>
      <c r="Q582" s="39"/>
      <c r="R582" s="39"/>
      <c r="S582" s="33"/>
      <c r="T582" s="33"/>
      <c r="U582" s="33"/>
      <c r="V582" s="33"/>
    </row>
    <row r="583" ht="14.25" spans="1:22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5"/>
      <c r="L583" s="36">
        <v>2926</v>
      </c>
      <c r="M583" s="37">
        <v>0.06</v>
      </c>
      <c r="N583" s="38" t="s">
        <v>1281</v>
      </c>
      <c r="O583" s="33"/>
      <c r="P583" s="35"/>
      <c r="Q583" s="39"/>
      <c r="R583" s="39"/>
      <c r="S583" s="33"/>
      <c r="T583" s="33"/>
      <c r="U583" s="33"/>
      <c r="V583" s="33"/>
    </row>
    <row r="584" ht="14.25" spans="1:22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5"/>
      <c r="L584" s="36">
        <v>2927</v>
      </c>
      <c r="M584" s="37">
        <v>0.06</v>
      </c>
      <c r="N584" s="38" t="s">
        <v>1281</v>
      </c>
      <c r="O584" s="33"/>
      <c r="P584" s="35"/>
      <c r="Q584" s="39"/>
      <c r="R584" s="39"/>
      <c r="S584" s="33"/>
      <c r="T584" s="33"/>
      <c r="U584" s="33"/>
      <c r="V584" s="33"/>
    </row>
    <row r="585" ht="14.25" spans="1:22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5"/>
      <c r="L585" s="36">
        <v>2928</v>
      </c>
      <c r="M585" s="37">
        <v>0.06</v>
      </c>
      <c r="N585" s="38" t="s">
        <v>1282</v>
      </c>
      <c r="O585" s="33"/>
      <c r="P585" s="35"/>
      <c r="Q585" s="39"/>
      <c r="R585" s="39"/>
      <c r="S585" s="33"/>
      <c r="T585" s="33"/>
      <c r="U585" s="33"/>
      <c r="V585" s="33"/>
    </row>
    <row r="586" ht="14.25" spans="1:22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5"/>
      <c r="L586" s="36">
        <v>2929</v>
      </c>
      <c r="M586" s="37">
        <v>0.06</v>
      </c>
      <c r="N586" s="38" t="s">
        <v>1283</v>
      </c>
      <c r="O586" s="33"/>
      <c r="P586" s="35"/>
      <c r="Q586" s="39"/>
      <c r="R586" s="39"/>
      <c r="S586" s="33"/>
      <c r="T586" s="33"/>
      <c r="U586" s="33"/>
      <c r="V586" s="33"/>
    </row>
    <row r="587" ht="14.25" spans="1:22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5"/>
      <c r="L587" s="36">
        <v>2930</v>
      </c>
      <c r="M587" s="37">
        <v>0.06</v>
      </c>
      <c r="N587" s="38" t="s">
        <v>1284</v>
      </c>
      <c r="O587" s="33"/>
      <c r="P587" s="35"/>
      <c r="Q587" s="39"/>
      <c r="R587" s="39"/>
      <c r="S587" s="33"/>
      <c r="T587" s="33"/>
      <c r="U587" s="33"/>
      <c r="V587" s="33"/>
    </row>
    <row r="588" ht="14.25" spans="1:22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5"/>
      <c r="L588" s="36">
        <v>2931</v>
      </c>
      <c r="M588" s="37">
        <v>0.06</v>
      </c>
      <c r="N588" s="38" t="s">
        <v>1285</v>
      </c>
      <c r="O588" s="33"/>
      <c r="P588" s="35"/>
      <c r="Q588" s="39"/>
      <c r="R588" s="39"/>
      <c r="S588" s="33"/>
      <c r="T588" s="33"/>
      <c r="U588" s="33"/>
      <c r="V588" s="33"/>
    </row>
    <row r="589" ht="14.25" spans="1:22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5"/>
      <c r="L589" s="36">
        <v>2933</v>
      </c>
      <c r="M589" s="37">
        <v>0.06</v>
      </c>
      <c r="N589" s="38" t="s">
        <v>1286</v>
      </c>
      <c r="O589" s="33"/>
      <c r="P589" s="35"/>
      <c r="Q589" s="39"/>
      <c r="R589" s="39"/>
      <c r="S589" s="33"/>
      <c r="T589" s="33"/>
      <c r="U589" s="33"/>
      <c r="V589" s="33"/>
    </row>
    <row r="590" ht="14.25" spans="1:22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5"/>
      <c r="L590" s="36">
        <v>2934</v>
      </c>
      <c r="M590" s="37">
        <v>0.06</v>
      </c>
      <c r="N590" s="38" t="s">
        <v>1287</v>
      </c>
      <c r="O590" s="33"/>
      <c r="P590" s="35"/>
      <c r="Q590" s="39"/>
      <c r="R590" s="39"/>
      <c r="S590" s="33"/>
      <c r="T590" s="33"/>
      <c r="U590" s="33"/>
      <c r="V590" s="33"/>
    </row>
    <row r="591" ht="14.25" spans="1:22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5"/>
      <c r="L591" s="36">
        <v>2935</v>
      </c>
      <c r="M591" s="37">
        <v>0.06</v>
      </c>
      <c r="N591" s="38" t="s">
        <v>1288</v>
      </c>
      <c r="O591" s="33"/>
      <c r="P591" s="35"/>
      <c r="Q591" s="39"/>
      <c r="R591" s="39"/>
      <c r="S591" s="33"/>
      <c r="T591" s="33"/>
      <c r="U591" s="33"/>
      <c r="V591" s="33"/>
    </row>
    <row r="592" ht="14.25" spans="1:2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5"/>
      <c r="L592" s="36">
        <v>2936</v>
      </c>
      <c r="M592" s="37">
        <v>0.06</v>
      </c>
      <c r="N592" s="38" t="s">
        <v>1289</v>
      </c>
      <c r="O592" s="33"/>
      <c r="P592" s="35"/>
      <c r="Q592" s="39"/>
      <c r="R592" s="39"/>
      <c r="S592" s="33"/>
      <c r="T592" s="33"/>
      <c r="U592" s="33"/>
      <c r="V592" s="33"/>
    </row>
    <row r="593" ht="14.25" spans="1:22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5"/>
      <c r="L593" s="36">
        <v>2937</v>
      </c>
      <c r="M593" s="37">
        <v>0.06</v>
      </c>
      <c r="N593" s="38" t="s">
        <v>1290</v>
      </c>
      <c r="O593" s="33"/>
      <c r="P593" s="35"/>
      <c r="Q593" s="39"/>
      <c r="R593" s="39"/>
      <c r="S593" s="33"/>
      <c r="T593" s="33"/>
      <c r="U593" s="33"/>
      <c r="V593" s="33"/>
    </row>
    <row r="594" ht="14.25" spans="1:22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5"/>
      <c r="L594" s="36">
        <v>2938</v>
      </c>
      <c r="M594" s="37">
        <v>0.06</v>
      </c>
      <c r="N594" s="38" t="s">
        <v>1291</v>
      </c>
      <c r="O594" s="33"/>
      <c r="P594" s="35"/>
      <c r="Q594" s="39"/>
      <c r="R594" s="39"/>
      <c r="S594" s="33"/>
      <c r="T594" s="33"/>
      <c r="U594" s="33"/>
      <c r="V594" s="33"/>
    </row>
    <row r="595" ht="14.25" spans="1:22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5"/>
      <c r="L595" s="36">
        <v>2939</v>
      </c>
      <c r="M595" s="37">
        <v>0.06</v>
      </c>
      <c r="N595" s="38" t="s">
        <v>1292</v>
      </c>
      <c r="O595" s="33"/>
      <c r="P595" s="35"/>
      <c r="Q595" s="39"/>
      <c r="R595" s="39"/>
      <c r="S595" s="33"/>
      <c r="T595" s="33"/>
      <c r="U595" s="33"/>
      <c r="V595" s="33"/>
    </row>
    <row r="596" ht="14.25" spans="1:22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5"/>
      <c r="L596" s="36">
        <v>2940</v>
      </c>
      <c r="M596" s="37">
        <v>0.06</v>
      </c>
      <c r="N596" s="38" t="s">
        <v>1293</v>
      </c>
      <c r="O596" s="33"/>
      <c r="P596" s="35"/>
      <c r="Q596" s="39"/>
      <c r="R596" s="39"/>
      <c r="S596" s="33"/>
      <c r="T596" s="33"/>
      <c r="U596" s="33"/>
      <c r="V596" s="33"/>
    </row>
    <row r="597" ht="14.25" spans="1:22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5"/>
      <c r="L597" s="36">
        <v>2941</v>
      </c>
      <c r="M597" s="37">
        <v>0.06</v>
      </c>
      <c r="N597" s="38" t="s">
        <v>1294</v>
      </c>
      <c r="O597" s="33"/>
      <c r="P597" s="35"/>
      <c r="Q597" s="39"/>
      <c r="R597" s="39"/>
      <c r="S597" s="33"/>
      <c r="T597" s="33"/>
      <c r="U597" s="33"/>
      <c r="V597" s="33"/>
    </row>
    <row r="598" ht="14.25" spans="1:22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5"/>
      <c r="L598" s="36">
        <v>2942</v>
      </c>
      <c r="M598" s="37">
        <v>0.06</v>
      </c>
      <c r="N598" s="38" t="s">
        <v>1295</v>
      </c>
      <c r="O598" s="33"/>
      <c r="P598" s="35"/>
      <c r="Q598" s="39"/>
      <c r="R598" s="39"/>
      <c r="S598" s="33"/>
      <c r="T598" s="33"/>
      <c r="U598" s="33"/>
      <c r="V598" s="33"/>
    </row>
    <row r="599" ht="14.25" spans="1:22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5"/>
      <c r="L599" s="36">
        <v>9998</v>
      </c>
      <c r="M599" s="37">
        <v>0.06</v>
      </c>
      <c r="N599" s="38" t="s">
        <v>1296</v>
      </c>
      <c r="O599" s="33"/>
      <c r="P599" s="35"/>
      <c r="Q599" s="39"/>
      <c r="R599" s="39"/>
      <c r="S599" s="33"/>
      <c r="T599" s="33"/>
      <c r="U599" s="33"/>
      <c r="V599" s="33"/>
    </row>
  </sheetData>
  <autoFilter ref="A1:X599">
    <extLst/>
  </autoFilter>
  <conditionalFormatting sqref="A1:B1">
    <cfRule type="duplicateValues" dxfId="3" priority="1"/>
    <cfRule type="duplicateValues" dxfId="3" priority="2"/>
  </conditionalFormatting>
  <conditionalFormatting sqref="C1">
    <cfRule type="duplicateValues" dxfId="3" priority="7"/>
    <cfRule type="duplicateValues" dxfId="3" priority="8"/>
  </conditionalFormatting>
  <conditionalFormatting sqref="C2:C263">
    <cfRule type="duplicateValues" dxfId="3" priority="9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475"/>
  <sheetViews>
    <sheetView workbookViewId="0">
      <pane xSplit="1" ySplit="1" topLeftCell="B60" activePane="bottomRight" state="frozen"/>
      <selection/>
      <selection pane="topRight"/>
      <selection pane="bottomLeft"/>
      <selection pane="bottomRight" activeCell="G453" sqref="G453"/>
    </sheetView>
  </sheetViews>
  <sheetFormatPr defaultColWidth="9" defaultRowHeight="16.5" outlineLevelCol="6"/>
  <cols>
    <col min="1" max="1" width="9" style="2"/>
    <col min="2" max="2" width="62.875" style="3" customWidth="1"/>
    <col min="3" max="3" width="10.75" style="2" customWidth="1"/>
    <col min="4" max="4" width="27.625" style="3" customWidth="1"/>
    <col min="5" max="6" width="9" style="4"/>
    <col min="7" max="7" width="34.125" style="5" customWidth="1"/>
    <col min="8" max="16384" width="9" style="4"/>
  </cols>
  <sheetData>
    <row r="1" s="1" customFormat="1" ht="15" spans="1:7">
      <c r="A1" s="6" t="s">
        <v>1297</v>
      </c>
      <c r="B1" s="6" t="s">
        <v>1298</v>
      </c>
      <c r="C1" s="6" t="s">
        <v>18</v>
      </c>
      <c r="D1" s="6" t="s">
        <v>1299</v>
      </c>
      <c r="G1" s="7" t="s">
        <v>1300</v>
      </c>
    </row>
    <row r="2" spans="1:7">
      <c r="A2" s="8">
        <v>1002</v>
      </c>
      <c r="B2" s="9" t="s">
        <v>964</v>
      </c>
      <c r="C2" s="10">
        <v>0.06</v>
      </c>
      <c r="D2" s="11" t="s">
        <v>1301</v>
      </c>
      <c r="G2" s="12" t="s">
        <v>1302</v>
      </c>
    </row>
    <row r="3" spans="1:7">
      <c r="A3" s="8">
        <v>1005</v>
      </c>
      <c r="B3" s="9" t="s">
        <v>151</v>
      </c>
      <c r="C3" s="10">
        <v>0.06</v>
      </c>
      <c r="D3" s="11" t="s">
        <v>1303</v>
      </c>
      <c r="G3" s="12" t="s">
        <v>1304</v>
      </c>
    </row>
    <row r="4" spans="1:7">
      <c r="A4" s="8">
        <v>1105</v>
      </c>
      <c r="B4" s="9" t="s">
        <v>966</v>
      </c>
      <c r="C4" s="10">
        <v>0.06</v>
      </c>
      <c r="D4" s="11" t="s">
        <v>1305</v>
      </c>
      <c r="G4" s="12" t="s">
        <v>1306</v>
      </c>
    </row>
    <row r="5" spans="1:7">
      <c r="A5" s="8">
        <v>1106</v>
      </c>
      <c r="B5" s="9" t="s">
        <v>967</v>
      </c>
      <c r="C5" s="10">
        <v>0.06</v>
      </c>
      <c r="D5" s="11" t="s">
        <v>1305</v>
      </c>
      <c r="G5" s="12" t="s">
        <v>1307</v>
      </c>
    </row>
    <row r="6" spans="1:7">
      <c r="A6" s="8">
        <v>1107</v>
      </c>
      <c r="B6" s="9" t="s">
        <v>968</v>
      </c>
      <c r="C6" s="10">
        <v>0.06</v>
      </c>
      <c r="D6" s="11" t="s">
        <v>1305</v>
      </c>
      <c r="G6" s="12" t="s">
        <v>1308</v>
      </c>
    </row>
    <row r="7" spans="1:7">
      <c r="A7" s="8">
        <v>1120</v>
      </c>
      <c r="B7" s="9" t="s">
        <v>695</v>
      </c>
      <c r="C7" s="10">
        <v>0.06</v>
      </c>
      <c r="D7" s="11" t="s">
        <v>1309</v>
      </c>
      <c r="G7" s="12" t="s">
        <v>38</v>
      </c>
    </row>
    <row r="8" spans="1:7">
      <c r="A8" s="8">
        <v>1153</v>
      </c>
      <c r="B8" s="9" t="s">
        <v>971</v>
      </c>
      <c r="C8" s="10">
        <v>0.06</v>
      </c>
      <c r="D8" s="11" t="s">
        <v>1310</v>
      </c>
      <c r="G8" s="12" t="s">
        <v>1311</v>
      </c>
    </row>
    <row r="9" spans="1:7">
      <c r="A9" s="8">
        <v>1197</v>
      </c>
      <c r="B9" s="9" t="s">
        <v>296</v>
      </c>
      <c r="C9" s="10">
        <v>0.06</v>
      </c>
      <c r="D9" s="11" t="s">
        <v>1305</v>
      </c>
      <c r="G9" s="12" t="s">
        <v>1312</v>
      </c>
    </row>
    <row r="10" spans="1:7">
      <c r="A10" s="8">
        <v>1204</v>
      </c>
      <c r="B10" s="9" t="s">
        <v>972</v>
      </c>
      <c r="C10" s="13" t="s">
        <v>184</v>
      </c>
      <c r="D10" s="11" t="s">
        <v>1313</v>
      </c>
      <c r="G10" s="12" t="s">
        <v>1314</v>
      </c>
    </row>
    <row r="11" spans="1:7">
      <c r="A11" s="8">
        <v>1205</v>
      </c>
      <c r="B11" s="9" t="s">
        <v>973</v>
      </c>
      <c r="C11" s="10">
        <v>0.09</v>
      </c>
      <c r="D11" s="11" t="s">
        <v>1301</v>
      </c>
      <c r="G11" s="12" t="s">
        <v>1315</v>
      </c>
    </row>
    <row r="12" spans="1:7">
      <c r="A12" s="8">
        <v>1206</v>
      </c>
      <c r="B12" s="9" t="s">
        <v>974</v>
      </c>
      <c r="C12" s="10">
        <v>0.09</v>
      </c>
      <c r="D12" s="11" t="s">
        <v>1301</v>
      </c>
      <c r="G12" s="12" t="s">
        <v>1316</v>
      </c>
    </row>
    <row r="13" spans="1:7">
      <c r="A13" s="8">
        <v>1208</v>
      </c>
      <c r="B13" s="9" t="s">
        <v>975</v>
      </c>
      <c r="C13" s="10">
        <v>0.06</v>
      </c>
      <c r="D13" s="11" t="s">
        <v>1301</v>
      </c>
      <c r="G13" s="12" t="s">
        <v>1317</v>
      </c>
    </row>
    <row r="14" spans="1:7">
      <c r="A14" s="8">
        <v>2700</v>
      </c>
      <c r="B14" s="9" t="s">
        <v>1174</v>
      </c>
      <c r="C14" s="10">
        <v>0.06</v>
      </c>
      <c r="D14" s="11" t="s">
        <v>1301</v>
      </c>
      <c r="G14" s="12" t="s">
        <v>1318</v>
      </c>
    </row>
    <row r="15" spans="1:7">
      <c r="A15" s="8">
        <v>2701</v>
      </c>
      <c r="B15" s="9" t="s">
        <v>1175</v>
      </c>
      <c r="C15" s="10">
        <v>0.06</v>
      </c>
      <c r="D15" s="11" t="s">
        <v>1301</v>
      </c>
      <c r="G15" s="12" t="s">
        <v>1319</v>
      </c>
    </row>
    <row r="16" spans="1:7">
      <c r="A16" s="8">
        <v>1221</v>
      </c>
      <c r="B16" s="9" t="s">
        <v>515</v>
      </c>
      <c r="C16" s="10">
        <v>0.06</v>
      </c>
      <c r="D16" s="11" t="s">
        <v>1303</v>
      </c>
      <c r="G16" s="12" t="s">
        <v>1320</v>
      </c>
    </row>
    <row r="17" spans="1:7">
      <c r="A17" s="8">
        <v>1223</v>
      </c>
      <c r="B17" s="9" t="s">
        <v>976</v>
      </c>
      <c r="C17" s="10">
        <v>0.06</v>
      </c>
      <c r="D17" s="11" t="s">
        <v>1301</v>
      </c>
      <c r="G17" s="12" t="s">
        <v>1321</v>
      </c>
    </row>
    <row r="18" spans="1:7">
      <c r="A18" s="8">
        <v>1249</v>
      </c>
      <c r="B18" s="9" t="s">
        <v>610</v>
      </c>
      <c r="C18" s="10">
        <v>0.06</v>
      </c>
      <c r="D18" s="11" t="s">
        <v>1301</v>
      </c>
      <c r="G18" s="12" t="s">
        <v>1322</v>
      </c>
    </row>
    <row r="19" spans="1:7">
      <c r="A19" s="8">
        <v>2734</v>
      </c>
      <c r="B19" s="9" t="s">
        <v>1176</v>
      </c>
      <c r="C19" s="10">
        <v>0.06</v>
      </c>
      <c r="D19" s="11" t="s">
        <v>1309</v>
      </c>
      <c r="G19" s="12" t="s">
        <v>1323</v>
      </c>
    </row>
    <row r="20" spans="1:7">
      <c r="A20" s="8">
        <v>2735</v>
      </c>
      <c r="B20" s="9" t="s">
        <v>505</v>
      </c>
      <c r="C20" s="10">
        <v>0.06</v>
      </c>
      <c r="D20" s="11" t="s">
        <v>1309</v>
      </c>
      <c r="G20" s="12" t="s">
        <v>1324</v>
      </c>
    </row>
    <row r="21" spans="1:7">
      <c r="A21" s="8">
        <v>1289</v>
      </c>
      <c r="B21" s="9" t="s">
        <v>197</v>
      </c>
      <c r="C21" s="10">
        <v>0.06</v>
      </c>
      <c r="D21" s="11" t="s">
        <v>1309</v>
      </c>
      <c r="G21" s="12" t="s">
        <v>1325</v>
      </c>
    </row>
    <row r="22" spans="1:7">
      <c r="A22" s="8">
        <v>1290</v>
      </c>
      <c r="B22" s="9" t="s">
        <v>977</v>
      </c>
      <c r="C22" s="10">
        <v>0.06</v>
      </c>
      <c r="D22" s="11" t="s">
        <v>1309</v>
      </c>
      <c r="G22" s="12" t="s">
        <v>1326</v>
      </c>
    </row>
    <row r="23" spans="1:7">
      <c r="A23" s="8">
        <v>1419</v>
      </c>
      <c r="B23" s="9" t="s">
        <v>1000</v>
      </c>
      <c r="C23" s="10">
        <v>0.06</v>
      </c>
      <c r="D23" s="11" t="s">
        <v>1309</v>
      </c>
      <c r="G23" s="12" t="s">
        <v>1327</v>
      </c>
    </row>
    <row r="24" spans="1:7">
      <c r="A24" s="8">
        <v>1299</v>
      </c>
      <c r="B24" s="9" t="s">
        <v>978</v>
      </c>
      <c r="C24" s="10">
        <v>0.06</v>
      </c>
      <c r="D24" s="11" t="s">
        <v>1328</v>
      </c>
      <c r="G24" s="12" t="s">
        <v>1329</v>
      </c>
    </row>
    <row r="25" spans="1:7">
      <c r="A25" s="8">
        <v>2751</v>
      </c>
      <c r="B25" s="9" t="s">
        <v>1177</v>
      </c>
      <c r="C25" s="10">
        <v>0.06</v>
      </c>
      <c r="D25" s="11" t="s">
        <v>1309</v>
      </c>
      <c r="G25" s="12" t="s">
        <v>1330</v>
      </c>
    </row>
    <row r="26" spans="1:7">
      <c r="A26" s="8">
        <v>2752</v>
      </c>
      <c r="B26" s="9" t="s">
        <v>1178</v>
      </c>
      <c r="C26" s="10">
        <v>0.06</v>
      </c>
      <c r="D26" s="11" t="s">
        <v>1309</v>
      </c>
      <c r="G26" s="12" t="s">
        <v>1331</v>
      </c>
    </row>
    <row r="27" spans="1:7">
      <c r="A27" s="8">
        <v>1306</v>
      </c>
      <c r="B27" s="9" t="s">
        <v>1332</v>
      </c>
      <c r="C27" s="10">
        <v>0.09</v>
      </c>
      <c r="D27" s="11" t="s">
        <v>1333</v>
      </c>
      <c r="G27" s="12" t="s">
        <v>1334</v>
      </c>
    </row>
    <row r="28" spans="1:7">
      <c r="A28" s="8">
        <v>1307</v>
      </c>
      <c r="B28" s="9" t="s">
        <v>1335</v>
      </c>
      <c r="C28" s="10">
        <v>0.06</v>
      </c>
      <c r="D28" s="11" t="s">
        <v>1336</v>
      </c>
      <c r="G28" s="12" t="s">
        <v>1337</v>
      </c>
    </row>
    <row r="29" spans="1:7">
      <c r="A29" s="8">
        <v>1309</v>
      </c>
      <c r="B29" s="9" t="s">
        <v>1338</v>
      </c>
      <c r="C29" s="10">
        <v>0.06</v>
      </c>
      <c r="D29" s="11" t="s">
        <v>1305</v>
      </c>
      <c r="G29" s="12" t="s">
        <v>1339</v>
      </c>
    </row>
    <row r="30" spans="1:7">
      <c r="A30" s="8">
        <v>1310</v>
      </c>
      <c r="B30" s="9" t="s">
        <v>1340</v>
      </c>
      <c r="C30" s="10">
        <v>0.06</v>
      </c>
      <c r="D30" s="11" t="s">
        <v>1305</v>
      </c>
      <c r="G30" s="12" t="s">
        <v>1341</v>
      </c>
    </row>
    <row r="31" spans="1:7">
      <c r="A31" s="8">
        <v>1311</v>
      </c>
      <c r="B31" s="9" t="s">
        <v>1342</v>
      </c>
      <c r="C31" s="10">
        <v>0.06</v>
      </c>
      <c r="D31" s="11" t="s">
        <v>1305</v>
      </c>
      <c r="G31" s="12" t="s">
        <v>1343</v>
      </c>
    </row>
    <row r="32" spans="1:7">
      <c r="A32" s="8">
        <v>1312</v>
      </c>
      <c r="B32" s="9" t="s">
        <v>526</v>
      </c>
      <c r="C32" s="10">
        <v>0.06</v>
      </c>
      <c r="D32" s="11" t="s">
        <v>1305</v>
      </c>
      <c r="G32" s="12" t="s">
        <v>1344</v>
      </c>
    </row>
    <row r="33" spans="1:7">
      <c r="A33" s="8">
        <v>2699</v>
      </c>
      <c r="B33" s="9" t="s">
        <v>1173</v>
      </c>
      <c r="C33" s="10">
        <v>0.06</v>
      </c>
      <c r="D33" s="11" t="s">
        <v>1305</v>
      </c>
      <c r="G33" s="12" t="s">
        <v>1345</v>
      </c>
    </row>
    <row r="34" spans="1:7">
      <c r="A34" s="8">
        <v>1313</v>
      </c>
      <c r="B34" s="9" t="s">
        <v>979</v>
      </c>
      <c r="C34" s="10">
        <v>0.06</v>
      </c>
      <c r="D34" s="11" t="s">
        <v>1305</v>
      </c>
      <c r="G34" s="12" t="s">
        <v>1346</v>
      </c>
    </row>
    <row r="35" spans="1:7">
      <c r="A35" s="8">
        <v>1315</v>
      </c>
      <c r="B35" s="9" t="s">
        <v>980</v>
      </c>
      <c r="C35" s="10">
        <v>0.06</v>
      </c>
      <c r="D35" s="11" t="s">
        <v>1305</v>
      </c>
      <c r="G35" s="12" t="s">
        <v>1347</v>
      </c>
    </row>
    <row r="36" spans="1:7">
      <c r="A36" s="8">
        <v>1316</v>
      </c>
      <c r="B36" s="9" t="s">
        <v>981</v>
      </c>
      <c r="C36" s="10">
        <v>0.06</v>
      </c>
      <c r="D36" s="11" t="s">
        <v>1305</v>
      </c>
      <c r="G36" s="12" t="s">
        <v>1348</v>
      </c>
    </row>
    <row r="37" spans="1:7">
      <c r="A37" s="8">
        <v>1784</v>
      </c>
      <c r="B37" s="9" t="s">
        <v>1036</v>
      </c>
      <c r="C37" s="10">
        <v>0.06</v>
      </c>
      <c r="D37" s="11" t="s">
        <v>1305</v>
      </c>
      <c r="G37" s="12" t="s">
        <v>1349</v>
      </c>
    </row>
    <row r="38" spans="1:7">
      <c r="A38" s="8">
        <v>1785</v>
      </c>
      <c r="B38" s="9" t="s">
        <v>1037</v>
      </c>
      <c r="C38" s="10">
        <v>0.06</v>
      </c>
      <c r="D38" s="11" t="s">
        <v>1305</v>
      </c>
      <c r="G38" s="12" t="s">
        <v>1350</v>
      </c>
    </row>
    <row r="39" spans="1:7">
      <c r="A39" s="8">
        <v>1320</v>
      </c>
      <c r="B39" s="9" t="s">
        <v>111</v>
      </c>
      <c r="C39" s="10">
        <v>0.06</v>
      </c>
      <c r="D39" s="11" t="s">
        <v>1305</v>
      </c>
      <c r="G39" s="12" t="s">
        <v>1351</v>
      </c>
    </row>
    <row r="40" spans="1:7">
      <c r="A40" s="8">
        <v>1321</v>
      </c>
      <c r="B40" s="9" t="s">
        <v>1352</v>
      </c>
      <c r="C40" s="10">
        <v>0.06</v>
      </c>
      <c r="D40" s="11" t="s">
        <v>1305</v>
      </c>
      <c r="G40" s="12" t="s">
        <v>1353</v>
      </c>
    </row>
    <row r="41" spans="1:7">
      <c r="A41" s="8">
        <v>1322</v>
      </c>
      <c r="B41" s="9" t="s">
        <v>1354</v>
      </c>
      <c r="C41" s="10">
        <v>0.06</v>
      </c>
      <c r="D41" s="11" t="s">
        <v>1305</v>
      </c>
      <c r="G41" s="12" t="s">
        <v>1355</v>
      </c>
    </row>
    <row r="42" spans="1:7">
      <c r="A42" s="8">
        <v>1323</v>
      </c>
      <c r="B42" s="9" t="s">
        <v>1356</v>
      </c>
      <c r="C42" s="10">
        <v>0.06</v>
      </c>
      <c r="D42" s="11" t="s">
        <v>1305</v>
      </c>
      <c r="G42" s="12" t="s">
        <v>1357</v>
      </c>
    </row>
    <row r="43" spans="1:7">
      <c r="A43" s="8">
        <v>1324</v>
      </c>
      <c r="B43" s="9" t="s">
        <v>982</v>
      </c>
      <c r="C43" s="10">
        <v>0.06</v>
      </c>
      <c r="D43" s="11" t="s">
        <v>1305</v>
      </c>
      <c r="G43" s="12" t="s">
        <v>1358</v>
      </c>
    </row>
    <row r="44" spans="1:7">
      <c r="A44" s="8">
        <v>1330</v>
      </c>
      <c r="B44" s="9" t="s">
        <v>510</v>
      </c>
      <c r="C44" s="10">
        <v>0.06</v>
      </c>
      <c r="D44" s="11" t="s">
        <v>1305</v>
      </c>
      <c r="G44" s="12" t="s">
        <v>1359</v>
      </c>
    </row>
    <row r="45" spans="1:7">
      <c r="A45" s="8">
        <v>1331</v>
      </c>
      <c r="B45" s="9" t="s">
        <v>119</v>
      </c>
      <c r="C45" s="10">
        <v>0.06</v>
      </c>
      <c r="D45" s="11" t="s">
        <v>1305</v>
      </c>
      <c r="G45" s="12" t="s">
        <v>1360</v>
      </c>
    </row>
    <row r="46" spans="1:7">
      <c r="A46" s="8">
        <v>1326</v>
      </c>
      <c r="B46" s="9" t="s">
        <v>1361</v>
      </c>
      <c r="C46" s="10">
        <v>0.06</v>
      </c>
      <c r="D46" s="11" t="s">
        <v>1305</v>
      </c>
      <c r="G46" s="12" t="s">
        <v>1362</v>
      </c>
    </row>
    <row r="47" spans="1:7">
      <c r="A47" s="8">
        <v>1327</v>
      </c>
      <c r="B47" s="9" t="s">
        <v>983</v>
      </c>
      <c r="C47" s="10">
        <v>0.06</v>
      </c>
      <c r="D47" s="11" t="s">
        <v>1305</v>
      </c>
      <c r="G47" s="12" t="s">
        <v>1363</v>
      </c>
    </row>
    <row r="48" spans="1:7">
      <c r="A48" s="8">
        <v>1328</v>
      </c>
      <c r="B48" s="9" t="s">
        <v>984</v>
      </c>
      <c r="C48" s="10">
        <v>0.06</v>
      </c>
      <c r="D48" s="11" t="s">
        <v>1305</v>
      </c>
      <c r="G48" s="12" t="s">
        <v>1364</v>
      </c>
    </row>
    <row r="49" spans="1:7">
      <c r="A49" s="8">
        <v>1329</v>
      </c>
      <c r="B49" s="9" t="s">
        <v>1365</v>
      </c>
      <c r="C49" s="10">
        <v>0.06</v>
      </c>
      <c r="D49" s="11" t="s">
        <v>1305</v>
      </c>
      <c r="G49" s="12" t="s">
        <v>1366</v>
      </c>
    </row>
    <row r="50" spans="1:7">
      <c r="A50" s="8">
        <v>1400</v>
      </c>
      <c r="B50" s="9" t="s">
        <v>640</v>
      </c>
      <c r="C50" s="10">
        <v>0.06</v>
      </c>
      <c r="D50" s="11" t="s">
        <v>1305</v>
      </c>
      <c r="G50" s="12" t="s">
        <v>1367</v>
      </c>
    </row>
    <row r="51" spans="1:7">
      <c r="A51" s="8">
        <v>1401</v>
      </c>
      <c r="B51" s="9" t="s">
        <v>1368</v>
      </c>
      <c r="C51" s="10">
        <v>0.06</v>
      </c>
      <c r="D51" s="11" t="s">
        <v>1305</v>
      </c>
      <c r="G51" s="12" t="s">
        <v>1369</v>
      </c>
    </row>
    <row r="52" spans="1:7">
      <c r="A52" s="8">
        <v>2557</v>
      </c>
      <c r="B52" s="9" t="s">
        <v>717</v>
      </c>
      <c r="C52" s="10">
        <v>0.06</v>
      </c>
      <c r="D52" s="11" t="s">
        <v>1309</v>
      </c>
      <c r="G52" s="12" t="s">
        <v>1370</v>
      </c>
    </row>
    <row r="53" spans="1:7">
      <c r="A53" s="8">
        <v>1301</v>
      </c>
      <c r="B53" s="9" t="s">
        <v>175</v>
      </c>
      <c r="C53" s="10">
        <v>0.06</v>
      </c>
      <c r="D53" s="11" t="s">
        <v>1305</v>
      </c>
      <c r="G53" s="12" t="s">
        <v>1371</v>
      </c>
    </row>
    <row r="54" spans="1:7">
      <c r="A54" s="8">
        <v>1302</v>
      </c>
      <c r="B54" s="9" t="s">
        <v>1372</v>
      </c>
      <c r="C54" s="10">
        <v>0.09</v>
      </c>
      <c r="D54" s="11" t="s">
        <v>1301</v>
      </c>
      <c r="G54" s="12" t="s">
        <v>1373</v>
      </c>
    </row>
    <row r="55" spans="1:7">
      <c r="A55" s="8">
        <v>1420</v>
      </c>
      <c r="B55" s="9" t="s">
        <v>1001</v>
      </c>
      <c r="C55" s="10">
        <v>0.06</v>
      </c>
      <c r="D55" s="11" t="s">
        <v>1309</v>
      </c>
      <c r="G55" s="12" t="s">
        <v>1374</v>
      </c>
    </row>
    <row r="56" spans="1:7">
      <c r="A56" s="8">
        <v>1358</v>
      </c>
      <c r="B56" s="9" t="s">
        <v>985</v>
      </c>
      <c r="C56" s="10">
        <v>0.06</v>
      </c>
      <c r="D56" s="11" t="s">
        <v>1336</v>
      </c>
      <c r="G56" s="12" t="s">
        <v>1375</v>
      </c>
    </row>
    <row r="57" spans="1:7">
      <c r="A57" s="8">
        <v>1365</v>
      </c>
      <c r="B57" s="9" t="s">
        <v>986</v>
      </c>
      <c r="C57" s="10">
        <v>0.06</v>
      </c>
      <c r="D57" s="11" t="s">
        <v>1336</v>
      </c>
      <c r="G57" s="12" t="s">
        <v>1376</v>
      </c>
    </row>
    <row r="58" spans="1:7">
      <c r="A58" s="8">
        <v>1372</v>
      </c>
      <c r="B58" s="9" t="s">
        <v>987</v>
      </c>
      <c r="C58" s="10">
        <v>0.06</v>
      </c>
      <c r="D58" s="11" t="s">
        <v>1336</v>
      </c>
      <c r="G58" s="12" t="s">
        <v>1377</v>
      </c>
    </row>
    <row r="59" spans="1:7">
      <c r="A59" s="8">
        <v>1395</v>
      </c>
      <c r="B59" s="9" t="s">
        <v>990</v>
      </c>
      <c r="C59" s="10">
        <v>0.06</v>
      </c>
      <c r="D59" s="11" t="s">
        <v>1336</v>
      </c>
      <c r="G59" s="12" t="s">
        <v>1378</v>
      </c>
    </row>
    <row r="60" spans="1:7">
      <c r="A60" s="8">
        <v>1394</v>
      </c>
      <c r="B60" s="9" t="s">
        <v>989</v>
      </c>
      <c r="C60" s="10">
        <v>0.06</v>
      </c>
      <c r="D60" s="11" t="s">
        <v>1336</v>
      </c>
      <c r="G60" s="12" t="s">
        <v>1379</v>
      </c>
    </row>
    <row r="61" spans="1:7">
      <c r="A61" s="8">
        <v>1115</v>
      </c>
      <c r="B61" s="9" t="s">
        <v>969</v>
      </c>
      <c r="C61" s="10">
        <v>0.06</v>
      </c>
      <c r="D61" s="11" t="s">
        <v>1309</v>
      </c>
      <c r="G61" s="12" t="s">
        <v>1380</v>
      </c>
    </row>
    <row r="62" spans="1:7">
      <c r="A62" s="8">
        <v>1118</v>
      </c>
      <c r="B62" s="9" t="s">
        <v>970</v>
      </c>
      <c r="C62" s="10">
        <v>0.06</v>
      </c>
      <c r="D62" s="11" t="s">
        <v>1309</v>
      </c>
      <c r="G62" s="12" t="s">
        <v>1381</v>
      </c>
    </row>
    <row r="63" spans="1:7">
      <c r="A63" s="8">
        <v>1382</v>
      </c>
      <c r="B63" s="9" t="s">
        <v>988</v>
      </c>
      <c r="C63" s="10">
        <v>0.06</v>
      </c>
      <c r="D63" s="11" t="s">
        <v>1336</v>
      </c>
      <c r="G63" s="12" t="s">
        <v>1382</v>
      </c>
    </row>
    <row r="64" spans="1:7">
      <c r="A64" s="8">
        <v>2555</v>
      </c>
      <c r="B64" s="9" t="s">
        <v>1116</v>
      </c>
      <c r="C64" s="10">
        <v>0.06</v>
      </c>
      <c r="D64" s="11" t="s">
        <v>1336</v>
      </c>
      <c r="G64" s="12" t="s">
        <v>1383</v>
      </c>
    </row>
    <row r="65" spans="1:7">
      <c r="A65" s="8">
        <v>1405</v>
      </c>
      <c r="B65" s="9" t="s">
        <v>991</v>
      </c>
      <c r="C65" s="10">
        <v>0.13</v>
      </c>
      <c r="D65" s="11" t="s">
        <v>1384</v>
      </c>
      <c r="G65" s="12" t="s">
        <v>1385</v>
      </c>
    </row>
    <row r="66" spans="1:4">
      <c r="A66" s="8">
        <v>1408</v>
      </c>
      <c r="B66" s="9" t="s">
        <v>992</v>
      </c>
      <c r="C66" s="13" t="s">
        <v>184</v>
      </c>
      <c r="D66" s="11" t="s">
        <v>1313</v>
      </c>
    </row>
    <row r="67" spans="1:4">
      <c r="A67" s="8">
        <v>1409</v>
      </c>
      <c r="B67" s="9" t="s">
        <v>993</v>
      </c>
      <c r="C67" s="10">
        <v>0.09</v>
      </c>
      <c r="D67" s="11" t="s">
        <v>1301</v>
      </c>
    </row>
    <row r="68" spans="1:4">
      <c r="A68" s="8">
        <v>1410</v>
      </c>
      <c r="B68" s="9" t="s">
        <v>994</v>
      </c>
      <c r="C68" s="10">
        <v>0.09</v>
      </c>
      <c r="D68" s="11" t="s">
        <v>1301</v>
      </c>
    </row>
    <row r="69" spans="1:4">
      <c r="A69" s="8">
        <v>1411</v>
      </c>
      <c r="B69" s="9" t="s">
        <v>995</v>
      </c>
      <c r="C69" s="10">
        <v>0.09</v>
      </c>
      <c r="D69" s="11" t="s">
        <v>1301</v>
      </c>
    </row>
    <row r="70" spans="1:4">
      <c r="A70" s="8">
        <v>1412</v>
      </c>
      <c r="B70" s="9" t="s">
        <v>996</v>
      </c>
      <c r="C70" s="10">
        <v>0.09</v>
      </c>
      <c r="D70" s="11" t="s">
        <v>1301</v>
      </c>
    </row>
    <row r="71" spans="1:4">
      <c r="A71" s="8">
        <v>1413</v>
      </c>
      <c r="B71" s="9" t="s">
        <v>997</v>
      </c>
      <c r="C71" s="10">
        <v>0.06</v>
      </c>
      <c r="D71" s="11" t="s">
        <v>1301</v>
      </c>
    </row>
    <row r="72" spans="1:4">
      <c r="A72" s="8">
        <v>1414</v>
      </c>
      <c r="B72" s="9" t="s">
        <v>581</v>
      </c>
      <c r="C72" s="10">
        <v>0.13</v>
      </c>
      <c r="D72" s="11" t="s">
        <v>1301</v>
      </c>
    </row>
    <row r="73" spans="1:4">
      <c r="A73" s="8">
        <v>1417</v>
      </c>
      <c r="B73" s="9" t="s">
        <v>998</v>
      </c>
      <c r="C73" s="10">
        <v>0.06</v>
      </c>
      <c r="D73" s="11" t="s">
        <v>1309</v>
      </c>
    </row>
    <row r="74" spans="1:4">
      <c r="A74" s="8">
        <v>1418</v>
      </c>
      <c r="B74" s="9" t="s">
        <v>999</v>
      </c>
      <c r="C74" s="10">
        <v>0.06</v>
      </c>
      <c r="D74" s="11" t="s">
        <v>1309</v>
      </c>
    </row>
    <row r="75" spans="1:4">
      <c r="A75" s="8">
        <v>2693</v>
      </c>
      <c r="B75" s="9" t="s">
        <v>1167</v>
      </c>
      <c r="C75" s="10">
        <v>0.06</v>
      </c>
      <c r="D75" s="11" t="s">
        <v>1336</v>
      </c>
    </row>
    <row r="76" spans="1:4">
      <c r="A76" s="8">
        <v>2694</v>
      </c>
      <c r="B76" s="9" t="s">
        <v>1168</v>
      </c>
      <c r="C76" s="10">
        <v>0.06</v>
      </c>
      <c r="D76" s="11" t="s">
        <v>1336</v>
      </c>
    </row>
    <row r="77" spans="1:4">
      <c r="A77" s="8">
        <v>2695</v>
      </c>
      <c r="B77" s="9" t="s">
        <v>1169</v>
      </c>
      <c r="C77" s="10">
        <v>0.06</v>
      </c>
      <c r="D77" s="11" t="s">
        <v>1336</v>
      </c>
    </row>
    <row r="78" spans="1:4">
      <c r="A78" s="8">
        <v>2333</v>
      </c>
      <c r="B78" s="9" t="s">
        <v>371</v>
      </c>
      <c r="C78" s="10">
        <v>0.06</v>
      </c>
      <c r="D78" s="11" t="s">
        <v>1336</v>
      </c>
    </row>
    <row r="79" spans="1:4">
      <c r="A79" s="8">
        <v>2334</v>
      </c>
      <c r="B79" s="9" t="s">
        <v>412</v>
      </c>
      <c r="C79" s="10">
        <v>0.06</v>
      </c>
      <c r="D79" s="11" t="s">
        <v>1336</v>
      </c>
    </row>
    <row r="80" spans="1:4">
      <c r="A80" s="8">
        <v>2335</v>
      </c>
      <c r="B80" s="9" t="s">
        <v>1074</v>
      </c>
      <c r="C80" s="10">
        <v>0.06</v>
      </c>
      <c r="D80" s="11" t="s">
        <v>1336</v>
      </c>
    </row>
    <row r="81" spans="1:4">
      <c r="A81" s="8">
        <v>2337</v>
      </c>
      <c r="B81" s="9" t="s">
        <v>1075</v>
      </c>
      <c r="C81" s="10">
        <v>0.06</v>
      </c>
      <c r="D81" s="11" t="s">
        <v>1336</v>
      </c>
    </row>
    <row r="82" spans="1:4">
      <c r="A82" s="8">
        <v>2338</v>
      </c>
      <c r="B82" s="9" t="s">
        <v>1076</v>
      </c>
      <c r="C82" s="10">
        <v>0.06</v>
      </c>
      <c r="D82" s="11" t="s">
        <v>1336</v>
      </c>
    </row>
    <row r="83" spans="1:4">
      <c r="A83" s="8">
        <v>2339</v>
      </c>
      <c r="B83" s="9" t="s">
        <v>1077</v>
      </c>
      <c r="C83" s="10">
        <v>0.06</v>
      </c>
      <c r="D83" s="11" t="s">
        <v>1336</v>
      </c>
    </row>
    <row r="84" spans="1:4">
      <c r="A84" s="8">
        <v>2340</v>
      </c>
      <c r="B84" s="9" t="s">
        <v>364</v>
      </c>
      <c r="C84" s="10">
        <v>0.06</v>
      </c>
      <c r="D84" s="11" t="s">
        <v>1336</v>
      </c>
    </row>
    <row r="85" spans="1:4">
      <c r="A85" s="8">
        <v>2342</v>
      </c>
      <c r="B85" s="9" t="s">
        <v>1078</v>
      </c>
      <c r="C85" s="10">
        <v>0.06</v>
      </c>
      <c r="D85" s="11" t="s">
        <v>1336</v>
      </c>
    </row>
    <row r="86" spans="1:4">
      <c r="A86" s="8">
        <v>2343</v>
      </c>
      <c r="B86" s="9" t="s">
        <v>1079</v>
      </c>
      <c r="C86" s="10">
        <v>0.06</v>
      </c>
      <c r="D86" s="11" t="s">
        <v>1336</v>
      </c>
    </row>
    <row r="87" spans="1:4">
      <c r="A87" s="8">
        <v>2344</v>
      </c>
      <c r="B87" s="9" t="s">
        <v>1080</v>
      </c>
      <c r="C87" s="10">
        <v>0.06</v>
      </c>
      <c r="D87" s="11" t="s">
        <v>1336</v>
      </c>
    </row>
    <row r="88" spans="1:4">
      <c r="A88" s="8">
        <v>2345</v>
      </c>
      <c r="B88" s="9" t="s">
        <v>655</v>
      </c>
      <c r="C88" s="10">
        <v>0.06</v>
      </c>
      <c r="D88" s="11" t="s">
        <v>1336</v>
      </c>
    </row>
    <row r="89" spans="1:4">
      <c r="A89" s="8">
        <v>2346</v>
      </c>
      <c r="B89" s="9" t="s">
        <v>1081</v>
      </c>
      <c r="C89" s="10">
        <v>0.06</v>
      </c>
      <c r="D89" s="11" t="s">
        <v>1336</v>
      </c>
    </row>
    <row r="90" spans="1:4">
      <c r="A90" s="8">
        <v>2347</v>
      </c>
      <c r="B90" s="9" t="s">
        <v>395</v>
      </c>
      <c r="C90" s="10">
        <v>0.06</v>
      </c>
      <c r="D90" s="11" t="s">
        <v>1336</v>
      </c>
    </row>
    <row r="91" spans="1:4">
      <c r="A91" s="8">
        <v>1798</v>
      </c>
      <c r="B91" s="9" t="s">
        <v>628</v>
      </c>
      <c r="C91" s="10">
        <v>0.06</v>
      </c>
      <c r="D91" s="11" t="s">
        <v>1336</v>
      </c>
    </row>
    <row r="92" spans="1:4">
      <c r="A92" s="8">
        <v>2754</v>
      </c>
      <c r="B92" s="9" t="s">
        <v>1179</v>
      </c>
      <c r="C92" s="10">
        <v>0.06</v>
      </c>
      <c r="D92" s="11" t="s">
        <v>1336</v>
      </c>
    </row>
    <row r="93" spans="1:4">
      <c r="A93" s="8">
        <v>2352</v>
      </c>
      <c r="B93" s="9" t="s">
        <v>1083</v>
      </c>
      <c r="C93" s="10">
        <v>0.06</v>
      </c>
      <c r="D93" s="11" t="s">
        <v>1336</v>
      </c>
    </row>
    <row r="94" spans="1:4">
      <c r="A94" s="8">
        <v>2353</v>
      </c>
      <c r="B94" s="9" t="s">
        <v>399</v>
      </c>
      <c r="C94" s="10">
        <v>0.06</v>
      </c>
      <c r="D94" s="11" t="s">
        <v>1336</v>
      </c>
    </row>
    <row r="95" spans="1:4">
      <c r="A95" s="8">
        <v>2354</v>
      </c>
      <c r="B95" s="9" t="s">
        <v>1084</v>
      </c>
      <c r="C95" s="10">
        <v>0.06</v>
      </c>
      <c r="D95" s="11" t="s">
        <v>1336</v>
      </c>
    </row>
    <row r="96" spans="1:4">
      <c r="A96" s="8">
        <v>2355</v>
      </c>
      <c r="B96" s="9" t="s">
        <v>1085</v>
      </c>
      <c r="C96" s="10">
        <v>0.06</v>
      </c>
      <c r="D96" s="11" t="s">
        <v>1336</v>
      </c>
    </row>
    <row r="97" spans="1:4">
      <c r="A97" s="8">
        <v>2357</v>
      </c>
      <c r="B97" s="9" t="s">
        <v>1086</v>
      </c>
      <c r="C97" s="10">
        <v>0.06</v>
      </c>
      <c r="D97" s="11" t="s">
        <v>1336</v>
      </c>
    </row>
    <row r="98" spans="1:4">
      <c r="A98" s="8">
        <v>2358</v>
      </c>
      <c r="B98" s="9" t="s">
        <v>1087</v>
      </c>
      <c r="C98" s="10">
        <v>0.06</v>
      </c>
      <c r="D98" s="11" t="s">
        <v>1336</v>
      </c>
    </row>
    <row r="99" spans="1:4">
      <c r="A99" s="8">
        <v>2360</v>
      </c>
      <c r="B99" s="9" t="s">
        <v>885</v>
      </c>
      <c r="C99" s="10">
        <v>0.06</v>
      </c>
      <c r="D99" s="11" t="s">
        <v>1336</v>
      </c>
    </row>
    <row r="100" spans="1:4">
      <c r="A100" s="8">
        <v>2361</v>
      </c>
      <c r="B100" s="9" t="s">
        <v>1088</v>
      </c>
      <c r="C100" s="10">
        <v>0.06</v>
      </c>
      <c r="D100" s="11" t="s">
        <v>1336</v>
      </c>
    </row>
    <row r="101" spans="1:4">
      <c r="A101" s="8">
        <v>2362</v>
      </c>
      <c r="B101" s="9" t="s">
        <v>1089</v>
      </c>
      <c r="C101" s="10">
        <v>0.06</v>
      </c>
      <c r="D101" s="11" t="s">
        <v>1336</v>
      </c>
    </row>
    <row r="102" spans="1:4">
      <c r="A102" s="8">
        <v>2363</v>
      </c>
      <c r="B102" s="9" t="s">
        <v>1090</v>
      </c>
      <c r="C102" s="10">
        <v>0.06</v>
      </c>
      <c r="D102" s="11" t="s">
        <v>1336</v>
      </c>
    </row>
    <row r="103" spans="1:4">
      <c r="A103" s="8">
        <v>2364</v>
      </c>
      <c r="B103" s="9" t="s">
        <v>1091</v>
      </c>
      <c r="C103" s="10">
        <v>0.06</v>
      </c>
      <c r="D103" s="11" t="s">
        <v>1336</v>
      </c>
    </row>
    <row r="104" spans="1:4">
      <c r="A104" s="8">
        <v>2367</v>
      </c>
      <c r="B104" s="9" t="s">
        <v>1093</v>
      </c>
      <c r="C104" s="10">
        <v>0.06</v>
      </c>
      <c r="D104" s="11" t="s">
        <v>1336</v>
      </c>
    </row>
    <row r="105" spans="1:4">
      <c r="A105" s="8">
        <v>1940</v>
      </c>
      <c r="B105" s="9" t="s">
        <v>651</v>
      </c>
      <c r="C105" s="10">
        <v>0.06</v>
      </c>
      <c r="D105" s="11" t="s">
        <v>1336</v>
      </c>
    </row>
    <row r="106" spans="1:4">
      <c r="A106" s="8">
        <v>1815</v>
      </c>
      <c r="B106" s="9" t="s">
        <v>386</v>
      </c>
      <c r="C106" s="10">
        <v>0.06</v>
      </c>
      <c r="D106" s="11" t="s">
        <v>1336</v>
      </c>
    </row>
    <row r="107" spans="1:4">
      <c r="A107" s="8">
        <v>2375</v>
      </c>
      <c r="B107" s="9" t="s">
        <v>1094</v>
      </c>
      <c r="C107" s="10">
        <v>0.06</v>
      </c>
      <c r="D107" s="11" t="s">
        <v>1336</v>
      </c>
    </row>
    <row r="108" spans="1:4">
      <c r="A108" s="8">
        <v>2376</v>
      </c>
      <c r="B108" s="9" t="s">
        <v>1095</v>
      </c>
      <c r="C108" s="10">
        <v>0.06</v>
      </c>
      <c r="D108" s="11" t="s">
        <v>1336</v>
      </c>
    </row>
    <row r="109" spans="1:4">
      <c r="A109" s="8">
        <v>2348</v>
      </c>
      <c r="B109" s="9" t="s">
        <v>1082</v>
      </c>
      <c r="C109" s="10">
        <v>0.06</v>
      </c>
      <c r="D109" s="11" t="s">
        <v>1336</v>
      </c>
    </row>
    <row r="110" spans="1:4">
      <c r="A110" s="8">
        <v>2349</v>
      </c>
      <c r="B110" s="9" t="s">
        <v>912</v>
      </c>
      <c r="C110" s="10">
        <v>0.06</v>
      </c>
      <c r="D110" s="11" t="s">
        <v>1336</v>
      </c>
    </row>
    <row r="111" spans="1:4">
      <c r="A111" s="8">
        <v>2378</v>
      </c>
      <c r="B111" s="9" t="s">
        <v>1096</v>
      </c>
      <c r="C111" s="10">
        <v>0.06</v>
      </c>
      <c r="D111" s="11" t="s">
        <v>1336</v>
      </c>
    </row>
    <row r="112" spans="1:4">
      <c r="A112" s="8">
        <v>2379</v>
      </c>
      <c r="B112" s="9" t="s">
        <v>1097</v>
      </c>
      <c r="C112" s="10">
        <v>0.06</v>
      </c>
      <c r="D112" s="11" t="s">
        <v>1336</v>
      </c>
    </row>
    <row r="113" spans="1:4">
      <c r="A113" s="8">
        <v>2381</v>
      </c>
      <c r="B113" s="9" t="s">
        <v>1098</v>
      </c>
      <c r="C113" s="10">
        <v>0.06</v>
      </c>
      <c r="D113" s="11" t="s">
        <v>1336</v>
      </c>
    </row>
    <row r="114" spans="1:4">
      <c r="A114" s="8">
        <v>2382</v>
      </c>
      <c r="B114" s="9" t="s">
        <v>1099</v>
      </c>
      <c r="C114" s="10">
        <v>0.06</v>
      </c>
      <c r="D114" s="11" t="s">
        <v>1336</v>
      </c>
    </row>
    <row r="115" spans="1:4">
      <c r="A115" s="8">
        <v>2384</v>
      </c>
      <c r="B115" s="9" t="s">
        <v>1100</v>
      </c>
      <c r="C115" s="10">
        <v>0.06</v>
      </c>
      <c r="D115" s="11" t="s">
        <v>1336</v>
      </c>
    </row>
    <row r="116" spans="1:4">
      <c r="A116" s="8">
        <v>2385</v>
      </c>
      <c r="B116" s="9" t="s">
        <v>1101</v>
      </c>
      <c r="C116" s="10">
        <v>0.06</v>
      </c>
      <c r="D116" s="11" t="s">
        <v>1336</v>
      </c>
    </row>
    <row r="117" spans="1:4">
      <c r="A117" s="8">
        <v>2387</v>
      </c>
      <c r="B117" s="9" t="s">
        <v>1102</v>
      </c>
      <c r="C117" s="10">
        <v>0.06</v>
      </c>
      <c r="D117" s="11" t="s">
        <v>1336</v>
      </c>
    </row>
    <row r="118" spans="1:4">
      <c r="A118" s="8">
        <v>2388</v>
      </c>
      <c r="B118" s="9" t="s">
        <v>1103</v>
      </c>
      <c r="C118" s="10">
        <v>0.06</v>
      </c>
      <c r="D118" s="11" t="s">
        <v>1336</v>
      </c>
    </row>
    <row r="119" spans="1:4">
      <c r="A119" s="8">
        <v>2389</v>
      </c>
      <c r="B119" s="9" t="s">
        <v>1104</v>
      </c>
      <c r="C119" s="10">
        <v>0.06</v>
      </c>
      <c r="D119" s="11" t="s">
        <v>1336</v>
      </c>
    </row>
    <row r="120" spans="1:4">
      <c r="A120" s="8">
        <v>2390</v>
      </c>
      <c r="B120" s="9" t="s">
        <v>1105</v>
      </c>
      <c r="C120" s="10">
        <v>0.06</v>
      </c>
      <c r="D120" s="11" t="s">
        <v>1336</v>
      </c>
    </row>
    <row r="121" spans="1:4">
      <c r="A121" s="8">
        <v>1843</v>
      </c>
      <c r="B121" s="9" t="s">
        <v>1040</v>
      </c>
      <c r="C121" s="10">
        <v>0.06</v>
      </c>
      <c r="D121" s="11" t="s">
        <v>1336</v>
      </c>
    </row>
    <row r="122" spans="1:4">
      <c r="A122" s="8">
        <v>2696</v>
      </c>
      <c r="B122" s="9" t="s">
        <v>1170</v>
      </c>
      <c r="C122" s="10">
        <v>0.06</v>
      </c>
      <c r="D122" s="11" t="s">
        <v>1336</v>
      </c>
    </row>
    <row r="123" spans="1:4">
      <c r="A123" s="8">
        <v>2697</v>
      </c>
      <c r="B123" s="9" t="s">
        <v>1171</v>
      </c>
      <c r="C123" s="10">
        <v>0.06</v>
      </c>
      <c r="D123" s="11" t="s">
        <v>1336</v>
      </c>
    </row>
    <row r="124" spans="1:4">
      <c r="A124" s="8">
        <v>2698</v>
      </c>
      <c r="B124" s="9" t="s">
        <v>1172</v>
      </c>
      <c r="C124" s="10">
        <v>0.06</v>
      </c>
      <c r="D124" s="11" t="s">
        <v>1336</v>
      </c>
    </row>
    <row r="125" spans="1:4">
      <c r="A125" s="8">
        <v>2582</v>
      </c>
      <c r="B125" s="9" t="s">
        <v>1119</v>
      </c>
      <c r="C125" s="10">
        <v>0.06</v>
      </c>
      <c r="D125" s="11" t="s">
        <v>1336</v>
      </c>
    </row>
    <row r="126" spans="1:4">
      <c r="A126" s="8">
        <v>2584</v>
      </c>
      <c r="B126" s="9" t="s">
        <v>1120</v>
      </c>
      <c r="C126" s="10">
        <v>0.06</v>
      </c>
      <c r="D126" s="11" t="s">
        <v>1336</v>
      </c>
    </row>
    <row r="127" spans="1:4">
      <c r="A127" s="8">
        <v>2585</v>
      </c>
      <c r="B127" s="9" t="s">
        <v>1121</v>
      </c>
      <c r="C127" s="10">
        <v>0.06</v>
      </c>
      <c r="D127" s="11" t="s">
        <v>1336</v>
      </c>
    </row>
    <row r="128" spans="1:4">
      <c r="A128" s="8">
        <v>2587</v>
      </c>
      <c r="B128" s="9" t="s">
        <v>1122</v>
      </c>
      <c r="C128" s="10">
        <v>0.06</v>
      </c>
      <c r="D128" s="11" t="s">
        <v>1336</v>
      </c>
    </row>
    <row r="129" spans="1:4">
      <c r="A129" s="8">
        <v>2588</v>
      </c>
      <c r="B129" s="9" t="s">
        <v>1123</v>
      </c>
      <c r="C129" s="10">
        <v>0.06</v>
      </c>
      <c r="D129" s="11" t="s">
        <v>1336</v>
      </c>
    </row>
    <row r="130" spans="1:4">
      <c r="A130" s="8">
        <v>2590</v>
      </c>
      <c r="B130" s="9" t="s">
        <v>1124</v>
      </c>
      <c r="C130" s="10">
        <v>0.06</v>
      </c>
      <c r="D130" s="11" t="s">
        <v>1336</v>
      </c>
    </row>
    <row r="131" spans="1:4">
      <c r="A131" s="8">
        <v>2591</v>
      </c>
      <c r="B131" s="9" t="s">
        <v>1125</v>
      </c>
      <c r="C131" s="10">
        <v>0.06</v>
      </c>
      <c r="D131" s="11" t="s">
        <v>1336</v>
      </c>
    </row>
    <row r="132" spans="1:4">
      <c r="A132" s="8">
        <v>2593</v>
      </c>
      <c r="B132" s="9" t="s">
        <v>1126</v>
      </c>
      <c r="C132" s="10">
        <v>0.06</v>
      </c>
      <c r="D132" s="11" t="s">
        <v>1336</v>
      </c>
    </row>
    <row r="133" spans="1:4">
      <c r="A133" s="8">
        <v>2594</v>
      </c>
      <c r="B133" s="9" t="s">
        <v>1127</v>
      </c>
      <c r="C133" s="10">
        <v>0.06</v>
      </c>
      <c r="D133" s="11" t="s">
        <v>1336</v>
      </c>
    </row>
    <row r="134" spans="1:4">
      <c r="A134" s="8">
        <v>2597</v>
      </c>
      <c r="B134" s="9" t="s">
        <v>1128</v>
      </c>
      <c r="C134" s="10">
        <v>0.06</v>
      </c>
      <c r="D134" s="11" t="s">
        <v>1336</v>
      </c>
    </row>
    <row r="135" spans="1:4">
      <c r="A135" s="8">
        <v>2598</v>
      </c>
      <c r="B135" s="9" t="s">
        <v>1129</v>
      </c>
      <c r="C135" s="10">
        <v>0.06</v>
      </c>
      <c r="D135" s="11" t="s">
        <v>1336</v>
      </c>
    </row>
    <row r="136" spans="1:4">
      <c r="A136" s="8">
        <v>2600</v>
      </c>
      <c r="B136" s="9" t="s">
        <v>1130</v>
      </c>
      <c r="C136" s="10">
        <v>0.06</v>
      </c>
      <c r="D136" s="11" t="s">
        <v>1336</v>
      </c>
    </row>
    <row r="137" spans="1:4">
      <c r="A137" s="8">
        <v>2601</v>
      </c>
      <c r="B137" s="9" t="s">
        <v>1131</v>
      </c>
      <c r="C137" s="10">
        <v>0.06</v>
      </c>
      <c r="D137" s="11" t="s">
        <v>1336</v>
      </c>
    </row>
    <row r="138" spans="1:4">
      <c r="A138" s="8">
        <v>2606</v>
      </c>
      <c r="B138" s="9" t="s">
        <v>1134</v>
      </c>
      <c r="C138" s="10">
        <v>0.06</v>
      </c>
      <c r="D138" s="11" t="s">
        <v>1336</v>
      </c>
    </row>
    <row r="139" spans="1:4">
      <c r="A139" s="8">
        <v>2755</v>
      </c>
      <c r="B139" s="9" t="s">
        <v>1180</v>
      </c>
      <c r="C139" s="10">
        <v>0.06</v>
      </c>
      <c r="D139" s="11" t="s">
        <v>1336</v>
      </c>
    </row>
    <row r="140" spans="1:4">
      <c r="A140" s="8">
        <v>2612</v>
      </c>
      <c r="B140" s="9" t="s">
        <v>1135</v>
      </c>
      <c r="C140" s="10">
        <v>0.06</v>
      </c>
      <c r="D140" s="11" t="s">
        <v>1336</v>
      </c>
    </row>
    <row r="141" spans="1:4">
      <c r="A141" s="8">
        <v>2613</v>
      </c>
      <c r="B141" s="9" t="s">
        <v>1136</v>
      </c>
      <c r="C141" s="10">
        <v>0.06</v>
      </c>
      <c r="D141" s="11" t="s">
        <v>1336</v>
      </c>
    </row>
    <row r="142" spans="1:4">
      <c r="A142" s="8">
        <v>2615</v>
      </c>
      <c r="B142" s="9" t="s">
        <v>1137</v>
      </c>
      <c r="C142" s="10">
        <v>0.06</v>
      </c>
      <c r="D142" s="11" t="s">
        <v>1336</v>
      </c>
    </row>
    <row r="143" spans="1:4">
      <c r="A143" s="8">
        <v>2616</v>
      </c>
      <c r="B143" s="9" t="s">
        <v>1138</v>
      </c>
      <c r="C143" s="10">
        <v>0.06</v>
      </c>
      <c r="D143" s="11" t="s">
        <v>1336</v>
      </c>
    </row>
    <row r="144" spans="1:4">
      <c r="A144" s="8">
        <v>2618</v>
      </c>
      <c r="B144" s="9" t="s">
        <v>1139</v>
      </c>
      <c r="C144" s="10">
        <v>0.06</v>
      </c>
      <c r="D144" s="11" t="s">
        <v>1336</v>
      </c>
    </row>
    <row r="145" spans="1:4">
      <c r="A145" s="8">
        <v>2619</v>
      </c>
      <c r="B145" s="9" t="s">
        <v>1140</v>
      </c>
      <c r="C145" s="10">
        <v>0.06</v>
      </c>
      <c r="D145" s="11" t="s">
        <v>1336</v>
      </c>
    </row>
    <row r="146" spans="1:4">
      <c r="A146" s="8">
        <v>2621</v>
      </c>
      <c r="B146" s="9" t="s">
        <v>1141</v>
      </c>
      <c r="C146" s="10">
        <v>0.06</v>
      </c>
      <c r="D146" s="11" t="s">
        <v>1336</v>
      </c>
    </row>
    <row r="147" spans="1:4">
      <c r="A147" s="8">
        <v>2622</v>
      </c>
      <c r="B147" s="9" t="s">
        <v>1142</v>
      </c>
      <c r="C147" s="10">
        <v>0.06</v>
      </c>
      <c r="D147" s="11" t="s">
        <v>1336</v>
      </c>
    </row>
    <row r="148" spans="1:4">
      <c r="A148" s="8">
        <v>2624</v>
      </c>
      <c r="B148" s="9" t="s">
        <v>1143</v>
      </c>
      <c r="C148" s="10">
        <v>0.06</v>
      </c>
      <c r="D148" s="11" t="s">
        <v>1336</v>
      </c>
    </row>
    <row r="149" spans="1:4">
      <c r="A149" s="8">
        <v>2625</v>
      </c>
      <c r="B149" s="9" t="s">
        <v>1144</v>
      </c>
      <c r="C149" s="10">
        <v>0.06</v>
      </c>
      <c r="D149" s="11" t="s">
        <v>1336</v>
      </c>
    </row>
    <row r="150" spans="1:4">
      <c r="A150" s="8">
        <v>2627</v>
      </c>
      <c r="B150" s="9" t="s">
        <v>1145</v>
      </c>
      <c r="C150" s="10">
        <v>0.06</v>
      </c>
      <c r="D150" s="11" t="s">
        <v>1336</v>
      </c>
    </row>
    <row r="151" spans="1:4">
      <c r="A151" s="8">
        <v>2630</v>
      </c>
      <c r="B151" s="9" t="s">
        <v>1146</v>
      </c>
      <c r="C151" s="10">
        <v>0.06</v>
      </c>
      <c r="D151" s="11" t="s">
        <v>1336</v>
      </c>
    </row>
    <row r="152" spans="1:4">
      <c r="A152" s="8">
        <v>2756</v>
      </c>
      <c r="B152" s="9" t="s">
        <v>1181</v>
      </c>
      <c r="C152" s="10">
        <v>0.06</v>
      </c>
      <c r="D152" s="11" t="s">
        <v>1336</v>
      </c>
    </row>
    <row r="153" spans="1:4">
      <c r="A153" s="8">
        <v>2647</v>
      </c>
      <c r="B153" s="9" t="s">
        <v>1147</v>
      </c>
      <c r="C153" s="10">
        <v>0.06</v>
      </c>
      <c r="D153" s="11" t="s">
        <v>1336</v>
      </c>
    </row>
    <row r="154" spans="1:4">
      <c r="A154" s="8">
        <v>2649</v>
      </c>
      <c r="B154" s="9" t="s">
        <v>1148</v>
      </c>
      <c r="C154" s="10">
        <v>0.06</v>
      </c>
      <c r="D154" s="11" t="s">
        <v>1336</v>
      </c>
    </row>
    <row r="155" spans="1:4">
      <c r="A155" s="8">
        <v>2652</v>
      </c>
      <c r="B155" s="9" t="s">
        <v>1149</v>
      </c>
      <c r="C155" s="10">
        <v>0.06</v>
      </c>
      <c r="D155" s="11" t="s">
        <v>1336</v>
      </c>
    </row>
    <row r="156" spans="1:4">
      <c r="A156" s="8">
        <v>2604</v>
      </c>
      <c r="B156" s="9" t="s">
        <v>1132</v>
      </c>
      <c r="C156" s="10">
        <v>0.06</v>
      </c>
      <c r="D156" s="11" t="s">
        <v>1336</v>
      </c>
    </row>
    <row r="157" spans="1:4">
      <c r="A157" s="8">
        <v>2605</v>
      </c>
      <c r="B157" s="9" t="s">
        <v>1133</v>
      </c>
      <c r="C157" s="10">
        <v>0.06</v>
      </c>
      <c r="D157" s="11" t="s">
        <v>1336</v>
      </c>
    </row>
    <row r="158" spans="1:4">
      <c r="A158" s="8">
        <v>2657</v>
      </c>
      <c r="B158" s="9" t="s">
        <v>1150</v>
      </c>
      <c r="C158" s="10">
        <v>0.06</v>
      </c>
      <c r="D158" s="11" t="s">
        <v>1336</v>
      </c>
    </row>
    <row r="159" spans="1:4">
      <c r="A159" s="8">
        <v>2658</v>
      </c>
      <c r="B159" s="9" t="s">
        <v>1151</v>
      </c>
      <c r="C159" s="10">
        <v>0.06</v>
      </c>
      <c r="D159" s="11" t="s">
        <v>1336</v>
      </c>
    </row>
    <row r="160" spans="1:4">
      <c r="A160" s="8">
        <v>2660</v>
      </c>
      <c r="B160" s="9" t="s">
        <v>1152</v>
      </c>
      <c r="C160" s="10">
        <v>0.06</v>
      </c>
      <c r="D160" s="11" t="s">
        <v>1336</v>
      </c>
    </row>
    <row r="161" spans="1:4">
      <c r="A161" s="8">
        <v>2661</v>
      </c>
      <c r="B161" s="9" t="s">
        <v>1153</v>
      </c>
      <c r="C161" s="10">
        <v>0.06</v>
      </c>
      <c r="D161" s="11" t="s">
        <v>1336</v>
      </c>
    </row>
    <row r="162" spans="1:4">
      <c r="A162" s="8">
        <v>2663</v>
      </c>
      <c r="B162" s="9" t="s">
        <v>1154</v>
      </c>
      <c r="C162" s="10">
        <v>0.06</v>
      </c>
      <c r="D162" s="11" t="s">
        <v>1336</v>
      </c>
    </row>
    <row r="163" spans="1:4">
      <c r="A163" s="8">
        <v>2664</v>
      </c>
      <c r="B163" s="9" t="s">
        <v>1155</v>
      </c>
      <c r="C163" s="10">
        <v>0.06</v>
      </c>
      <c r="D163" s="11" t="s">
        <v>1336</v>
      </c>
    </row>
    <row r="164" spans="1:4">
      <c r="A164" s="8">
        <v>2667</v>
      </c>
      <c r="B164" s="9" t="s">
        <v>1156</v>
      </c>
      <c r="C164" s="10">
        <v>0.06</v>
      </c>
      <c r="D164" s="11" t="s">
        <v>1336</v>
      </c>
    </row>
    <row r="165" spans="1:4">
      <c r="A165" s="8">
        <v>2668</v>
      </c>
      <c r="B165" s="9" t="s">
        <v>1157</v>
      </c>
      <c r="C165" s="10">
        <v>0.06</v>
      </c>
      <c r="D165" s="11" t="s">
        <v>1336</v>
      </c>
    </row>
    <row r="166" spans="1:4">
      <c r="A166" s="8">
        <v>2670</v>
      </c>
      <c r="B166" s="9" t="s">
        <v>1158</v>
      </c>
      <c r="C166" s="10">
        <v>0.06</v>
      </c>
      <c r="D166" s="11" t="s">
        <v>1336</v>
      </c>
    </row>
    <row r="167" spans="1:4">
      <c r="A167" s="8">
        <v>2671</v>
      </c>
      <c r="B167" s="9" t="s">
        <v>1159</v>
      </c>
      <c r="C167" s="10">
        <v>0.06</v>
      </c>
      <c r="D167" s="11" t="s">
        <v>1336</v>
      </c>
    </row>
    <row r="168" spans="1:4">
      <c r="A168" s="8">
        <v>2895</v>
      </c>
      <c r="B168" s="9" t="s">
        <v>1264</v>
      </c>
      <c r="C168" s="10">
        <v>0.06</v>
      </c>
      <c r="D168" s="11" t="s">
        <v>1336</v>
      </c>
    </row>
    <row r="169" spans="1:4">
      <c r="A169" s="8">
        <v>2898</v>
      </c>
      <c r="B169" s="9" t="s">
        <v>1265</v>
      </c>
      <c r="C169" s="10">
        <v>0.06</v>
      </c>
      <c r="D169" s="11" t="s">
        <v>1336</v>
      </c>
    </row>
    <row r="170" spans="1:4">
      <c r="A170" s="8">
        <v>2899</v>
      </c>
      <c r="B170" s="9" t="s">
        <v>1267</v>
      </c>
      <c r="C170" s="10">
        <v>0.06</v>
      </c>
      <c r="D170" s="11" t="s">
        <v>1336</v>
      </c>
    </row>
    <row r="171" spans="1:4">
      <c r="A171" s="8">
        <v>2901</v>
      </c>
      <c r="B171" s="9" t="s">
        <v>1268</v>
      </c>
      <c r="C171" s="10">
        <v>0.06</v>
      </c>
      <c r="D171" s="11" t="s">
        <v>1336</v>
      </c>
    </row>
    <row r="172" spans="1:4">
      <c r="A172" s="8">
        <v>2902</v>
      </c>
      <c r="B172" s="9" t="s">
        <v>779</v>
      </c>
      <c r="C172" s="10">
        <v>0.06</v>
      </c>
      <c r="D172" s="11" t="s">
        <v>1336</v>
      </c>
    </row>
    <row r="173" spans="1:4">
      <c r="A173" s="8">
        <v>2904</v>
      </c>
      <c r="B173" s="9" t="s">
        <v>1269</v>
      </c>
      <c r="C173" s="10">
        <v>0.06</v>
      </c>
      <c r="D173" s="11" t="s">
        <v>1336</v>
      </c>
    </row>
    <row r="174" spans="1:4">
      <c r="A174" s="8">
        <v>2905</v>
      </c>
      <c r="B174" s="9" t="s">
        <v>1270</v>
      </c>
      <c r="C174" s="10">
        <v>0.06</v>
      </c>
      <c r="D174" s="11" t="s">
        <v>1336</v>
      </c>
    </row>
    <row r="175" spans="1:4">
      <c r="A175" s="8">
        <v>2907</v>
      </c>
      <c r="B175" s="9" t="s">
        <v>1271</v>
      </c>
      <c r="C175" s="10">
        <v>0.06</v>
      </c>
      <c r="D175" s="11" t="s">
        <v>1336</v>
      </c>
    </row>
    <row r="176" spans="1:4">
      <c r="A176" s="8">
        <v>2908</v>
      </c>
      <c r="B176" s="9" t="s">
        <v>1272</v>
      </c>
      <c r="C176" s="10">
        <v>0.06</v>
      </c>
      <c r="D176" s="11" t="s">
        <v>1336</v>
      </c>
    </row>
    <row r="177" spans="1:4">
      <c r="A177" s="8">
        <v>2910</v>
      </c>
      <c r="B177" s="9" t="s">
        <v>1273</v>
      </c>
      <c r="C177" s="10">
        <v>0.06</v>
      </c>
      <c r="D177" s="11" t="s">
        <v>1336</v>
      </c>
    </row>
    <row r="178" spans="1:4">
      <c r="A178" s="8">
        <v>2911</v>
      </c>
      <c r="B178" s="9" t="s">
        <v>1274</v>
      </c>
      <c r="C178" s="10">
        <v>0.06</v>
      </c>
      <c r="D178" s="11" t="s">
        <v>1336</v>
      </c>
    </row>
    <row r="179" spans="1:4">
      <c r="A179" s="8">
        <v>2912</v>
      </c>
      <c r="B179" s="9" t="s">
        <v>341</v>
      </c>
      <c r="C179" s="10">
        <v>0.06</v>
      </c>
      <c r="D179" s="11" t="s">
        <v>1336</v>
      </c>
    </row>
    <row r="180" spans="1:4">
      <c r="A180" s="8">
        <v>1546</v>
      </c>
      <c r="B180" s="9" t="s">
        <v>1002</v>
      </c>
      <c r="C180" s="10">
        <v>0.09</v>
      </c>
      <c r="D180" s="11" t="s">
        <v>1301</v>
      </c>
    </row>
    <row r="181" spans="1:4">
      <c r="A181" s="8">
        <v>1547</v>
      </c>
      <c r="B181" s="9" t="s">
        <v>1003</v>
      </c>
      <c r="C181" s="10">
        <v>0.09</v>
      </c>
      <c r="D181" s="11" t="s">
        <v>1301</v>
      </c>
    </row>
    <row r="182" spans="1:4">
      <c r="A182" s="8">
        <v>1958</v>
      </c>
      <c r="B182" s="9" t="s">
        <v>727</v>
      </c>
      <c r="C182" s="10">
        <v>0.09</v>
      </c>
      <c r="D182" s="11" t="s">
        <v>1301</v>
      </c>
    </row>
    <row r="183" spans="1:4">
      <c r="A183" s="8">
        <v>1959</v>
      </c>
      <c r="B183" s="9" t="s">
        <v>648</v>
      </c>
      <c r="C183" s="10">
        <v>0.09</v>
      </c>
      <c r="D183" s="11" t="s">
        <v>1301</v>
      </c>
    </row>
    <row r="184" spans="1:4">
      <c r="A184" s="8">
        <v>1961</v>
      </c>
      <c r="B184" s="9" t="s">
        <v>843</v>
      </c>
      <c r="C184" s="10">
        <v>0.09</v>
      </c>
      <c r="D184" s="11" t="s">
        <v>1301</v>
      </c>
    </row>
    <row r="185" spans="1:4">
      <c r="A185" s="8">
        <v>1962</v>
      </c>
      <c r="B185" s="9" t="s">
        <v>1386</v>
      </c>
      <c r="C185" s="10">
        <v>0.09</v>
      </c>
      <c r="D185" s="11" t="s">
        <v>1301</v>
      </c>
    </row>
    <row r="186" spans="1:4">
      <c r="A186" s="8">
        <v>1550</v>
      </c>
      <c r="B186" s="9" t="s">
        <v>132</v>
      </c>
      <c r="C186" s="10">
        <v>0.09</v>
      </c>
      <c r="D186" s="11" t="s">
        <v>1301</v>
      </c>
    </row>
    <row r="187" spans="1:4">
      <c r="A187" s="8">
        <v>1551</v>
      </c>
      <c r="B187" s="9" t="s">
        <v>125</v>
      </c>
      <c r="C187" s="10">
        <v>0.09</v>
      </c>
      <c r="D187" s="11" t="s">
        <v>1301</v>
      </c>
    </row>
    <row r="188" spans="1:4">
      <c r="A188" s="8">
        <v>1553</v>
      </c>
      <c r="B188" s="9" t="s">
        <v>634</v>
      </c>
      <c r="C188" s="10">
        <v>0.09</v>
      </c>
      <c r="D188" s="11" t="s">
        <v>1301</v>
      </c>
    </row>
    <row r="189" spans="1:4">
      <c r="A189" s="8">
        <v>1554</v>
      </c>
      <c r="B189" s="9" t="s">
        <v>1004</v>
      </c>
      <c r="C189" s="10">
        <v>0.09</v>
      </c>
      <c r="D189" s="11" t="s">
        <v>1301</v>
      </c>
    </row>
    <row r="190" spans="1:4">
      <c r="A190" s="8">
        <v>1557</v>
      </c>
      <c r="B190" s="9" t="s">
        <v>575</v>
      </c>
      <c r="C190" s="10">
        <v>0.09</v>
      </c>
      <c r="D190" s="11" t="s">
        <v>1301</v>
      </c>
    </row>
    <row r="191" spans="1:4">
      <c r="A191" s="8">
        <v>1558</v>
      </c>
      <c r="B191" s="9" t="s">
        <v>1387</v>
      </c>
      <c r="C191" s="10">
        <v>0.09</v>
      </c>
      <c r="D191" s="11" t="s">
        <v>1301</v>
      </c>
    </row>
    <row r="192" spans="1:4">
      <c r="A192" s="8">
        <v>1560</v>
      </c>
      <c r="B192" s="9" t="s">
        <v>1388</v>
      </c>
      <c r="C192" s="10">
        <v>0.09</v>
      </c>
      <c r="D192" s="11" t="s">
        <v>1301</v>
      </c>
    </row>
    <row r="193" spans="1:4">
      <c r="A193" s="8">
        <v>1561</v>
      </c>
      <c r="B193" s="9" t="s">
        <v>1389</v>
      </c>
      <c r="C193" s="10">
        <v>0.09</v>
      </c>
      <c r="D193" s="11" t="s">
        <v>1301</v>
      </c>
    </row>
    <row r="194" spans="1:4">
      <c r="A194" s="8">
        <v>1563</v>
      </c>
      <c r="B194" s="9" t="s">
        <v>100</v>
      </c>
      <c r="C194" s="10">
        <v>0.09</v>
      </c>
      <c r="D194" s="11" t="s">
        <v>1301</v>
      </c>
    </row>
    <row r="195" spans="1:4">
      <c r="A195" s="8">
        <v>1565</v>
      </c>
      <c r="B195" s="9" t="s">
        <v>1390</v>
      </c>
      <c r="C195" s="10">
        <v>0.09</v>
      </c>
      <c r="D195" s="11" t="s">
        <v>1301</v>
      </c>
    </row>
    <row r="196" spans="1:4">
      <c r="A196" s="8">
        <v>1566</v>
      </c>
      <c r="B196" s="9" t="s">
        <v>1391</v>
      </c>
      <c r="C196" s="10">
        <v>0.09</v>
      </c>
      <c r="D196" s="11" t="s">
        <v>1301</v>
      </c>
    </row>
    <row r="197" spans="1:4">
      <c r="A197" s="8">
        <v>1567</v>
      </c>
      <c r="B197" s="9" t="s">
        <v>1392</v>
      </c>
      <c r="C197" s="10">
        <v>0.06</v>
      </c>
      <c r="D197" s="11" t="s">
        <v>1309</v>
      </c>
    </row>
    <row r="198" spans="1:4">
      <c r="A198" s="8">
        <v>1568</v>
      </c>
      <c r="B198" s="9" t="s">
        <v>1393</v>
      </c>
      <c r="C198" s="10">
        <v>0.09</v>
      </c>
      <c r="D198" s="11" t="s">
        <v>1301</v>
      </c>
    </row>
    <row r="199" spans="1:4">
      <c r="A199" s="8">
        <v>1572</v>
      </c>
      <c r="B199" s="9" t="s">
        <v>645</v>
      </c>
      <c r="C199" s="10">
        <v>0.09</v>
      </c>
      <c r="D199" s="11" t="s">
        <v>1301</v>
      </c>
    </row>
    <row r="200" spans="1:4">
      <c r="A200" s="8">
        <v>1952</v>
      </c>
      <c r="B200" s="9" t="s">
        <v>1057</v>
      </c>
      <c r="C200" s="10">
        <v>0.09</v>
      </c>
      <c r="D200" s="11" t="s">
        <v>1336</v>
      </c>
    </row>
    <row r="201" spans="1:4">
      <c r="A201" s="8">
        <v>1954</v>
      </c>
      <c r="B201" s="9" t="s">
        <v>1058</v>
      </c>
      <c r="C201" s="10">
        <v>0.09</v>
      </c>
      <c r="D201" s="11" t="s">
        <v>1336</v>
      </c>
    </row>
    <row r="202" spans="1:4">
      <c r="A202" s="8">
        <v>1799</v>
      </c>
      <c r="B202" s="9" t="s">
        <v>956</v>
      </c>
      <c r="C202" s="10">
        <v>0.09</v>
      </c>
      <c r="D202" s="11" t="s">
        <v>1336</v>
      </c>
    </row>
    <row r="203" spans="1:4">
      <c r="A203" s="8">
        <v>1963</v>
      </c>
      <c r="B203" s="9" t="s">
        <v>1060</v>
      </c>
      <c r="C203" s="10">
        <v>0.09</v>
      </c>
      <c r="D203" s="11" t="s">
        <v>1301</v>
      </c>
    </row>
    <row r="204" spans="1:4">
      <c r="A204" s="8">
        <v>1964</v>
      </c>
      <c r="B204" s="9" t="s">
        <v>1061</v>
      </c>
      <c r="C204" s="10">
        <v>0.09</v>
      </c>
      <c r="D204" s="11" t="s">
        <v>1301</v>
      </c>
    </row>
    <row r="205" spans="1:4">
      <c r="A205" s="8">
        <v>1965</v>
      </c>
      <c r="B205" s="9" t="s">
        <v>923</v>
      </c>
      <c r="C205" s="10">
        <v>0.09</v>
      </c>
      <c r="D205" s="11" t="s">
        <v>1301</v>
      </c>
    </row>
    <row r="206" spans="1:4">
      <c r="A206" s="8">
        <v>1955</v>
      </c>
      <c r="B206" s="9" t="s">
        <v>1059</v>
      </c>
      <c r="C206" s="10">
        <v>0.09</v>
      </c>
      <c r="D206" s="11" t="s">
        <v>1336</v>
      </c>
    </row>
    <row r="207" spans="1:4">
      <c r="A207" s="8">
        <v>1424</v>
      </c>
      <c r="B207" s="9" t="s">
        <v>423</v>
      </c>
      <c r="C207" s="10">
        <v>0.06</v>
      </c>
      <c r="D207" s="11" t="s">
        <v>1336</v>
      </c>
    </row>
    <row r="208" spans="1:4">
      <c r="A208" s="8">
        <v>1425</v>
      </c>
      <c r="B208" s="9" t="s">
        <v>1394</v>
      </c>
      <c r="C208" s="10">
        <v>0.06</v>
      </c>
      <c r="D208" s="11" t="s">
        <v>1336</v>
      </c>
    </row>
    <row r="209" spans="1:4">
      <c r="A209" s="8">
        <v>1426</v>
      </c>
      <c r="B209" s="9" t="s">
        <v>431</v>
      </c>
      <c r="C209" s="10">
        <v>0.06</v>
      </c>
      <c r="D209" s="11" t="s">
        <v>1336</v>
      </c>
    </row>
    <row r="210" spans="1:4">
      <c r="A210" s="8">
        <v>1428</v>
      </c>
      <c r="B210" s="9" t="s">
        <v>1395</v>
      </c>
      <c r="C210" s="10">
        <v>0.09</v>
      </c>
      <c r="D210" s="11" t="s">
        <v>1301</v>
      </c>
    </row>
    <row r="211" spans="1:4">
      <c r="A211" s="8">
        <v>1429</v>
      </c>
      <c r="B211" s="9" t="s">
        <v>1396</v>
      </c>
      <c r="C211" s="10">
        <v>0.09</v>
      </c>
      <c r="D211" s="11" t="s">
        <v>1301</v>
      </c>
    </row>
    <row r="212" spans="1:4">
      <c r="A212" s="8">
        <v>1430</v>
      </c>
      <c r="B212" s="9" t="s">
        <v>1397</v>
      </c>
      <c r="C212" s="10">
        <v>0.09</v>
      </c>
      <c r="D212" s="11" t="s">
        <v>1301</v>
      </c>
    </row>
    <row r="213" spans="1:4">
      <c r="A213" s="8">
        <v>2565</v>
      </c>
      <c r="B213" s="9" t="s">
        <v>1398</v>
      </c>
      <c r="C213" s="10">
        <v>0.06</v>
      </c>
      <c r="D213" s="11" t="s">
        <v>1336</v>
      </c>
    </row>
    <row r="214" spans="1:4">
      <c r="A214" s="8">
        <v>2566</v>
      </c>
      <c r="B214" s="9" t="s">
        <v>1399</v>
      </c>
      <c r="C214" s="10">
        <v>0.06</v>
      </c>
      <c r="D214" s="11" t="s">
        <v>1336</v>
      </c>
    </row>
    <row r="215" spans="1:4">
      <c r="A215" s="8">
        <v>1437</v>
      </c>
      <c r="B215" s="9" t="s">
        <v>436</v>
      </c>
      <c r="C215" s="10">
        <v>0.06</v>
      </c>
      <c r="D215" s="11" t="s">
        <v>1336</v>
      </c>
    </row>
    <row r="216" spans="1:4">
      <c r="A216" s="8">
        <v>2023</v>
      </c>
      <c r="B216" s="9" t="s">
        <v>1065</v>
      </c>
      <c r="C216" s="10">
        <v>0.06</v>
      </c>
      <c r="D216" s="11" t="s">
        <v>1336</v>
      </c>
    </row>
    <row r="217" spans="1:4">
      <c r="A217" s="8">
        <v>2024</v>
      </c>
      <c r="B217" s="9" t="s">
        <v>1066</v>
      </c>
      <c r="C217" s="10">
        <v>0.06</v>
      </c>
      <c r="D217" s="11" t="s">
        <v>1336</v>
      </c>
    </row>
    <row r="218" spans="1:4">
      <c r="A218" s="8">
        <v>2330</v>
      </c>
      <c r="B218" s="9" t="s">
        <v>1072</v>
      </c>
      <c r="C218" s="10">
        <v>0.06</v>
      </c>
      <c r="D218" s="11" t="s">
        <v>1336</v>
      </c>
    </row>
    <row r="219" spans="1:4">
      <c r="A219" s="8">
        <v>2331</v>
      </c>
      <c r="B219" s="9" t="s">
        <v>1073</v>
      </c>
      <c r="C219" s="10">
        <v>0.06</v>
      </c>
      <c r="D219" s="11" t="s">
        <v>1336</v>
      </c>
    </row>
    <row r="220" spans="1:4">
      <c r="A220" s="8">
        <v>2027</v>
      </c>
      <c r="B220" s="9" t="s">
        <v>1067</v>
      </c>
      <c r="C220" s="10">
        <v>0.09</v>
      </c>
      <c r="D220" s="11" t="s">
        <v>1301</v>
      </c>
    </row>
    <row r="221" spans="1:4">
      <c r="A221" s="8">
        <v>2028</v>
      </c>
      <c r="B221" s="9" t="s">
        <v>1068</v>
      </c>
      <c r="C221" s="10">
        <v>0.09</v>
      </c>
      <c r="D221" s="11" t="s">
        <v>1301</v>
      </c>
    </row>
    <row r="222" spans="1:4">
      <c r="A222" s="8">
        <v>2029</v>
      </c>
      <c r="B222" s="9" t="s">
        <v>1069</v>
      </c>
      <c r="C222" s="10">
        <v>0.09</v>
      </c>
      <c r="D222" s="11" t="s">
        <v>1301</v>
      </c>
    </row>
    <row r="223" spans="1:4">
      <c r="A223" s="8">
        <v>2568</v>
      </c>
      <c r="B223" s="9" t="s">
        <v>1117</v>
      </c>
      <c r="C223" s="10">
        <v>0.06</v>
      </c>
      <c r="D223" s="11" t="s">
        <v>1336</v>
      </c>
    </row>
    <row r="224" spans="1:4">
      <c r="A224" s="8">
        <v>2569</v>
      </c>
      <c r="B224" s="9" t="s">
        <v>1118</v>
      </c>
      <c r="C224" s="10">
        <v>0.06</v>
      </c>
      <c r="D224" s="11" t="s">
        <v>1336</v>
      </c>
    </row>
    <row r="225" spans="1:4">
      <c r="A225" s="8">
        <v>2758</v>
      </c>
      <c r="B225" s="9" t="s">
        <v>1182</v>
      </c>
      <c r="C225" s="10">
        <v>0.06</v>
      </c>
      <c r="D225" s="11" t="s">
        <v>1336</v>
      </c>
    </row>
    <row r="226" spans="1:4">
      <c r="A226" s="8">
        <v>2913</v>
      </c>
      <c r="B226" s="9" t="s">
        <v>1275</v>
      </c>
      <c r="C226" s="10">
        <v>0.06</v>
      </c>
      <c r="D226" s="11" t="s">
        <v>1336</v>
      </c>
    </row>
    <row r="227" spans="1:4">
      <c r="A227" s="8">
        <v>2036</v>
      </c>
      <c r="B227" s="9" t="s">
        <v>1070</v>
      </c>
      <c r="C227" s="10">
        <v>0.06</v>
      </c>
      <c r="D227" s="11" t="s">
        <v>1336</v>
      </c>
    </row>
    <row r="228" spans="1:4">
      <c r="A228" s="8">
        <v>1714</v>
      </c>
      <c r="B228" s="9" t="s">
        <v>158</v>
      </c>
      <c r="C228" s="10">
        <v>0.09</v>
      </c>
      <c r="D228" s="11" t="s">
        <v>1303</v>
      </c>
    </row>
    <row r="229" spans="1:4">
      <c r="A229" s="8">
        <v>1716</v>
      </c>
      <c r="B229" s="9" t="s">
        <v>161</v>
      </c>
      <c r="C229" s="10">
        <v>0.06</v>
      </c>
      <c r="D229" s="11" t="s">
        <v>1305</v>
      </c>
    </row>
    <row r="230" spans="1:4">
      <c r="A230" s="8">
        <v>1717</v>
      </c>
      <c r="B230" s="9" t="s">
        <v>1014</v>
      </c>
      <c r="C230" s="10">
        <v>0.06</v>
      </c>
      <c r="D230" s="11" t="s">
        <v>1305</v>
      </c>
    </row>
    <row r="231" spans="1:4">
      <c r="A231" s="8">
        <v>1718</v>
      </c>
      <c r="B231" s="9" t="s">
        <v>1015</v>
      </c>
      <c r="C231" s="10">
        <v>0.06</v>
      </c>
      <c r="D231" s="11" t="s">
        <v>1305</v>
      </c>
    </row>
    <row r="232" spans="1:4">
      <c r="A232" s="8">
        <v>1719</v>
      </c>
      <c r="B232" s="9" t="s">
        <v>165</v>
      </c>
      <c r="C232" s="10">
        <v>0.06</v>
      </c>
      <c r="D232" s="11" t="s">
        <v>1400</v>
      </c>
    </row>
    <row r="233" spans="1:4">
      <c r="A233" s="8">
        <v>1720</v>
      </c>
      <c r="B233" s="9" t="s">
        <v>168</v>
      </c>
      <c r="C233" s="10">
        <v>0.06</v>
      </c>
      <c r="D233" s="11" t="s">
        <v>1309</v>
      </c>
    </row>
    <row r="234" spans="1:4">
      <c r="A234" s="8">
        <v>1722</v>
      </c>
      <c r="B234" s="9" t="s">
        <v>692</v>
      </c>
      <c r="C234" s="10">
        <v>0.06</v>
      </c>
      <c r="D234" s="11" t="s">
        <v>1336</v>
      </c>
    </row>
    <row r="235" spans="1:4">
      <c r="A235" s="8">
        <v>2759</v>
      </c>
      <c r="B235" s="9" t="s">
        <v>1183</v>
      </c>
      <c r="C235" s="10">
        <v>0.06</v>
      </c>
      <c r="D235" s="11" t="s">
        <v>1336</v>
      </c>
    </row>
    <row r="236" spans="1:4">
      <c r="A236" s="8">
        <v>2760</v>
      </c>
      <c r="B236" s="9" t="s">
        <v>1184</v>
      </c>
      <c r="C236" s="10">
        <v>0.06</v>
      </c>
      <c r="D236" s="11" t="s">
        <v>1336</v>
      </c>
    </row>
    <row r="237" spans="1:4">
      <c r="A237" s="8">
        <v>2761</v>
      </c>
      <c r="B237" s="9" t="s">
        <v>1185</v>
      </c>
      <c r="C237" s="10">
        <v>0.06</v>
      </c>
      <c r="D237" s="11" t="s">
        <v>1336</v>
      </c>
    </row>
    <row r="238" spans="1:4">
      <c r="A238" s="8">
        <v>2762</v>
      </c>
      <c r="B238" s="9" t="s">
        <v>1186</v>
      </c>
      <c r="C238" s="10">
        <v>0.06</v>
      </c>
      <c r="D238" s="11" t="s">
        <v>1336</v>
      </c>
    </row>
    <row r="239" spans="1:4">
      <c r="A239" s="8">
        <v>2763</v>
      </c>
      <c r="B239" s="9" t="s">
        <v>171</v>
      </c>
      <c r="C239" s="10">
        <v>0.06</v>
      </c>
      <c r="D239" s="11" t="s">
        <v>1336</v>
      </c>
    </row>
    <row r="240" spans="1:4">
      <c r="A240" s="8">
        <v>2550</v>
      </c>
      <c r="B240" s="9" t="s">
        <v>1115</v>
      </c>
      <c r="C240" s="10">
        <v>0.06</v>
      </c>
      <c r="D240" s="11" t="s">
        <v>1336</v>
      </c>
    </row>
    <row r="241" spans="1:4">
      <c r="A241" s="8">
        <v>2914</v>
      </c>
      <c r="B241" s="9" t="s">
        <v>302</v>
      </c>
      <c r="C241" s="10">
        <v>0.06</v>
      </c>
      <c r="D241" s="11" t="s">
        <v>1336</v>
      </c>
    </row>
    <row r="242" spans="1:4">
      <c r="A242" s="8">
        <v>2891</v>
      </c>
      <c r="B242" s="9" t="s">
        <v>711</v>
      </c>
      <c r="C242" s="10">
        <v>0.06</v>
      </c>
      <c r="D242" s="11" t="s">
        <v>1336</v>
      </c>
    </row>
    <row r="243" spans="1:4">
      <c r="A243" s="8">
        <v>1818</v>
      </c>
      <c r="B243" s="9" t="s">
        <v>754</v>
      </c>
      <c r="C243" s="10">
        <v>0.06</v>
      </c>
      <c r="D243" s="11" t="s">
        <v>1336</v>
      </c>
    </row>
    <row r="244" spans="1:4">
      <c r="A244" s="8">
        <v>1966</v>
      </c>
      <c r="B244" s="9" t="s">
        <v>878</v>
      </c>
      <c r="C244" s="10">
        <v>0.06</v>
      </c>
      <c r="D244" s="11" t="s">
        <v>1305</v>
      </c>
    </row>
    <row r="245" spans="1:4">
      <c r="A245" s="8">
        <v>1726</v>
      </c>
      <c r="B245" s="9" t="s">
        <v>940</v>
      </c>
      <c r="C245" s="10">
        <v>0.06</v>
      </c>
      <c r="D245" s="11" t="s">
        <v>1309</v>
      </c>
    </row>
    <row r="246" spans="1:4">
      <c r="A246" s="8">
        <v>1727</v>
      </c>
      <c r="B246" s="9" t="s">
        <v>1017</v>
      </c>
      <c r="C246" s="10">
        <v>0.06</v>
      </c>
      <c r="D246" s="11" t="s">
        <v>1305</v>
      </c>
    </row>
    <row r="247" spans="1:4">
      <c r="A247" s="8">
        <v>1569</v>
      </c>
      <c r="B247" s="9" t="s">
        <v>751</v>
      </c>
      <c r="C247" s="10">
        <v>0.09</v>
      </c>
      <c r="D247" s="11" t="s">
        <v>1301</v>
      </c>
    </row>
    <row r="248" spans="1:4">
      <c r="A248" s="8">
        <v>2769</v>
      </c>
      <c r="B248" s="9" t="s">
        <v>1187</v>
      </c>
      <c r="C248" s="10">
        <v>0.06</v>
      </c>
      <c r="D248" s="11" t="s">
        <v>1301</v>
      </c>
    </row>
    <row r="249" spans="1:4">
      <c r="A249" s="8">
        <v>2770</v>
      </c>
      <c r="B249" s="9" t="s">
        <v>1188</v>
      </c>
      <c r="C249" s="10">
        <v>0.06</v>
      </c>
      <c r="D249" s="11" t="s">
        <v>1301</v>
      </c>
    </row>
    <row r="250" spans="1:4">
      <c r="A250" s="8">
        <v>2365</v>
      </c>
      <c r="B250" s="9" t="s">
        <v>1092</v>
      </c>
      <c r="C250" s="10">
        <v>0.06</v>
      </c>
      <c r="D250" s="11" t="s">
        <v>1336</v>
      </c>
    </row>
    <row r="251" spans="1:4">
      <c r="A251" s="8">
        <v>2771</v>
      </c>
      <c r="B251" s="9" t="s">
        <v>881</v>
      </c>
      <c r="C251" s="10">
        <v>0.06</v>
      </c>
      <c r="D251" s="11" t="s">
        <v>1336</v>
      </c>
    </row>
    <row r="252" spans="1:4">
      <c r="A252" s="8">
        <v>2772</v>
      </c>
      <c r="B252" s="9" t="s">
        <v>1189</v>
      </c>
      <c r="C252" s="10">
        <v>0.06</v>
      </c>
      <c r="D252" s="11" t="s">
        <v>1336</v>
      </c>
    </row>
    <row r="253" spans="1:4">
      <c r="A253" s="8">
        <v>1708</v>
      </c>
      <c r="B253" s="9" t="s">
        <v>545</v>
      </c>
      <c r="C253" s="10">
        <v>0.06</v>
      </c>
      <c r="D253" s="11" t="s">
        <v>1336</v>
      </c>
    </row>
    <row r="254" spans="1:4">
      <c r="A254" s="8">
        <v>2863</v>
      </c>
      <c r="B254" s="9" t="s">
        <v>1241</v>
      </c>
      <c r="C254" s="10">
        <v>0.06</v>
      </c>
      <c r="D254" s="11" t="s">
        <v>1336</v>
      </c>
    </row>
    <row r="255" spans="1:4">
      <c r="A255" s="8">
        <v>2864</v>
      </c>
      <c r="B255" s="9" t="s">
        <v>1242</v>
      </c>
      <c r="C255" s="10">
        <v>0.06</v>
      </c>
      <c r="D255" s="11" t="s">
        <v>1336</v>
      </c>
    </row>
    <row r="256" spans="1:4">
      <c r="A256" s="8">
        <v>2865</v>
      </c>
      <c r="B256" s="9" t="s">
        <v>1243</v>
      </c>
      <c r="C256" s="10">
        <v>0.06</v>
      </c>
      <c r="D256" s="11" t="s">
        <v>1336</v>
      </c>
    </row>
    <row r="257" spans="1:4">
      <c r="A257" s="8">
        <v>2887</v>
      </c>
      <c r="B257" s="9" t="s">
        <v>1261</v>
      </c>
      <c r="C257" s="10">
        <v>0.06</v>
      </c>
      <c r="D257" s="11" t="s">
        <v>1336</v>
      </c>
    </row>
    <row r="258" spans="1:4">
      <c r="A258" s="8">
        <v>2775</v>
      </c>
      <c r="B258" s="9" t="s">
        <v>1190</v>
      </c>
      <c r="C258" s="10">
        <v>0.06</v>
      </c>
      <c r="D258" s="11" t="s">
        <v>1336</v>
      </c>
    </row>
    <row r="259" spans="1:4">
      <c r="A259" s="8">
        <v>2776</v>
      </c>
      <c r="B259" s="9" t="s">
        <v>1191</v>
      </c>
      <c r="C259" s="10">
        <v>0.06</v>
      </c>
      <c r="D259" s="11" t="s">
        <v>1336</v>
      </c>
    </row>
    <row r="260" spans="1:4">
      <c r="A260" s="8">
        <v>2777</v>
      </c>
      <c r="B260" s="9" t="s">
        <v>445</v>
      </c>
      <c r="C260" s="10">
        <v>0.06</v>
      </c>
      <c r="D260" s="11" t="s">
        <v>1336</v>
      </c>
    </row>
    <row r="261" spans="1:4">
      <c r="A261" s="8">
        <v>2919</v>
      </c>
      <c r="B261" s="9" t="s">
        <v>1262</v>
      </c>
      <c r="C261" s="10">
        <v>0.06</v>
      </c>
      <c r="D261" s="11" t="s">
        <v>1336</v>
      </c>
    </row>
    <row r="262" spans="1:4">
      <c r="A262" s="8">
        <v>2920</v>
      </c>
      <c r="B262" s="9" t="s">
        <v>1262</v>
      </c>
      <c r="C262" s="10">
        <v>0.06</v>
      </c>
      <c r="D262" s="11" t="s">
        <v>1336</v>
      </c>
    </row>
    <row r="263" spans="1:4">
      <c r="A263" s="8">
        <v>2921</v>
      </c>
      <c r="B263" s="9" t="s">
        <v>1262</v>
      </c>
      <c r="C263" s="10">
        <v>0.06</v>
      </c>
      <c r="D263" s="11" t="s">
        <v>1336</v>
      </c>
    </row>
    <row r="264" spans="1:4">
      <c r="A264" s="8">
        <v>2893</v>
      </c>
      <c r="B264" s="9" t="s">
        <v>1262</v>
      </c>
      <c r="C264" s="10">
        <v>0.06</v>
      </c>
      <c r="D264" s="11" t="s">
        <v>1336</v>
      </c>
    </row>
    <row r="265" spans="1:4">
      <c r="A265" s="8">
        <v>2894</v>
      </c>
      <c r="B265" s="9" t="s">
        <v>1262</v>
      </c>
      <c r="C265" s="10">
        <v>0.06</v>
      </c>
      <c r="D265" s="11" t="s">
        <v>1336</v>
      </c>
    </row>
    <row r="266" spans="1:4">
      <c r="A266" s="8">
        <v>2922</v>
      </c>
      <c r="B266" s="9" t="s">
        <v>1280</v>
      </c>
      <c r="C266" s="10">
        <v>0.06</v>
      </c>
      <c r="D266" s="11" t="s">
        <v>1336</v>
      </c>
    </row>
    <row r="267" spans="1:4">
      <c r="A267" s="8">
        <v>2923</v>
      </c>
      <c r="B267" s="9" t="s">
        <v>1280</v>
      </c>
      <c r="C267" s="10">
        <v>0.06</v>
      </c>
      <c r="D267" s="11" t="s">
        <v>1336</v>
      </c>
    </row>
    <row r="268" spans="1:4">
      <c r="A268" s="8">
        <v>2924</v>
      </c>
      <c r="B268" s="9" t="s">
        <v>1280</v>
      </c>
      <c r="C268" s="10">
        <v>0.06</v>
      </c>
      <c r="D268" s="11" t="s">
        <v>1336</v>
      </c>
    </row>
    <row r="269" spans="1:4">
      <c r="A269" s="8">
        <v>2925</v>
      </c>
      <c r="B269" s="9" t="s">
        <v>1281</v>
      </c>
      <c r="C269" s="10">
        <v>0.06</v>
      </c>
      <c r="D269" s="11" t="s">
        <v>1336</v>
      </c>
    </row>
    <row r="270" spans="1:4">
      <c r="A270" s="8">
        <v>2926</v>
      </c>
      <c r="B270" s="9" t="s">
        <v>1281</v>
      </c>
      <c r="C270" s="10">
        <v>0.06</v>
      </c>
      <c r="D270" s="11" t="s">
        <v>1336</v>
      </c>
    </row>
    <row r="271" spans="1:4">
      <c r="A271" s="8">
        <v>2927</v>
      </c>
      <c r="B271" s="9" t="s">
        <v>1281</v>
      </c>
      <c r="C271" s="10">
        <v>0.06</v>
      </c>
      <c r="D271" s="11" t="s">
        <v>1336</v>
      </c>
    </row>
    <row r="272" spans="1:4">
      <c r="A272" s="8">
        <v>2782</v>
      </c>
      <c r="B272" s="9" t="s">
        <v>1192</v>
      </c>
      <c r="C272" s="10">
        <v>0.06</v>
      </c>
      <c r="D272" s="11" t="s">
        <v>1336</v>
      </c>
    </row>
    <row r="273" spans="1:4">
      <c r="A273" s="8">
        <v>2783</v>
      </c>
      <c r="B273" s="9" t="s">
        <v>1193</v>
      </c>
      <c r="C273" s="10">
        <v>0.06</v>
      </c>
      <c r="D273" s="11" t="s">
        <v>1336</v>
      </c>
    </row>
    <row r="274" spans="1:4">
      <c r="A274" s="8">
        <v>2785</v>
      </c>
      <c r="B274" s="9" t="s">
        <v>1194</v>
      </c>
      <c r="C274" s="10">
        <v>0.06</v>
      </c>
      <c r="D274" s="11" t="s">
        <v>1336</v>
      </c>
    </row>
    <row r="275" spans="1:4">
      <c r="A275" s="8">
        <v>2786</v>
      </c>
      <c r="B275" s="9" t="s">
        <v>1195</v>
      </c>
      <c r="C275" s="10">
        <v>0.06</v>
      </c>
      <c r="D275" s="11" t="s">
        <v>1336</v>
      </c>
    </row>
    <row r="276" spans="1:4">
      <c r="A276" s="8">
        <v>2787</v>
      </c>
      <c r="B276" s="9" t="s">
        <v>1196</v>
      </c>
      <c r="C276" s="10">
        <v>0.06</v>
      </c>
      <c r="D276" s="11" t="s">
        <v>1336</v>
      </c>
    </row>
    <row r="277" spans="1:4">
      <c r="A277" s="8">
        <v>2788</v>
      </c>
      <c r="B277" s="9" t="s">
        <v>1197</v>
      </c>
      <c r="C277" s="10">
        <v>0.06</v>
      </c>
      <c r="D277" s="11" t="s">
        <v>1336</v>
      </c>
    </row>
    <row r="278" spans="1:4">
      <c r="A278" s="8">
        <v>2789</v>
      </c>
      <c r="B278" s="9" t="s">
        <v>1198</v>
      </c>
      <c r="C278" s="10">
        <v>0.06</v>
      </c>
      <c r="D278" s="11" t="s">
        <v>1336</v>
      </c>
    </row>
    <row r="279" spans="1:4">
      <c r="A279" s="8">
        <v>2790</v>
      </c>
      <c r="B279" s="9" t="s">
        <v>1199</v>
      </c>
      <c r="C279" s="10">
        <v>0.06</v>
      </c>
      <c r="D279" s="11" t="s">
        <v>1336</v>
      </c>
    </row>
    <row r="280" spans="1:4">
      <c r="A280" s="8">
        <v>2791</v>
      </c>
      <c r="B280" s="9" t="s">
        <v>1200</v>
      </c>
      <c r="C280" s="10">
        <v>0.06</v>
      </c>
      <c r="D280" s="11" t="s">
        <v>1336</v>
      </c>
    </row>
    <row r="281" spans="1:4">
      <c r="A281" s="8">
        <v>2792</v>
      </c>
      <c r="B281" s="9" t="s">
        <v>1201</v>
      </c>
      <c r="C281" s="10">
        <v>0.06</v>
      </c>
      <c r="D281" s="11" t="s">
        <v>1336</v>
      </c>
    </row>
    <row r="282" spans="1:4">
      <c r="A282" s="8">
        <v>2793</v>
      </c>
      <c r="B282" s="9" t="s">
        <v>1202</v>
      </c>
      <c r="C282" s="10">
        <v>0.06</v>
      </c>
      <c r="D282" s="11" t="s">
        <v>1336</v>
      </c>
    </row>
    <row r="283" spans="1:4">
      <c r="A283" s="8">
        <v>2794</v>
      </c>
      <c r="B283" s="9" t="s">
        <v>1203</v>
      </c>
      <c r="C283" s="10">
        <v>0.06</v>
      </c>
      <c r="D283" s="11" t="s">
        <v>1336</v>
      </c>
    </row>
    <row r="284" spans="1:4">
      <c r="A284" s="8">
        <v>2795</v>
      </c>
      <c r="B284" s="9" t="s">
        <v>1204</v>
      </c>
      <c r="C284" s="10">
        <v>0.06</v>
      </c>
      <c r="D284" s="11" t="s">
        <v>1336</v>
      </c>
    </row>
    <row r="285" spans="1:4">
      <c r="A285" s="8">
        <v>2796</v>
      </c>
      <c r="B285" s="9" t="s">
        <v>1205</v>
      </c>
      <c r="C285" s="10">
        <v>0.06</v>
      </c>
      <c r="D285" s="11" t="s">
        <v>1336</v>
      </c>
    </row>
    <row r="286" spans="1:4">
      <c r="A286" s="8">
        <v>2797</v>
      </c>
      <c r="B286" s="9" t="s">
        <v>1206</v>
      </c>
      <c r="C286" s="10">
        <v>0.06</v>
      </c>
      <c r="D286" s="11" t="s">
        <v>1336</v>
      </c>
    </row>
    <row r="287" spans="1:4">
      <c r="A287" s="8">
        <v>2798</v>
      </c>
      <c r="B287" s="9" t="s">
        <v>1207</v>
      </c>
      <c r="C287" s="10">
        <v>0.06</v>
      </c>
      <c r="D287" s="11" t="s">
        <v>1336</v>
      </c>
    </row>
    <row r="288" spans="1:4">
      <c r="A288" s="8">
        <v>2915</v>
      </c>
      <c r="B288" s="9" t="s">
        <v>1276</v>
      </c>
      <c r="C288" s="10">
        <v>0.06</v>
      </c>
      <c r="D288" s="11" t="s">
        <v>1336</v>
      </c>
    </row>
    <row r="289" spans="1:4">
      <c r="A289" s="8">
        <v>2803</v>
      </c>
      <c r="B289" s="9" t="s">
        <v>1208</v>
      </c>
      <c r="C289" s="10">
        <v>0.06</v>
      </c>
      <c r="D289" s="11" t="s">
        <v>1336</v>
      </c>
    </row>
    <row r="290" spans="1:4">
      <c r="A290" s="8">
        <v>2804</v>
      </c>
      <c r="B290" s="9" t="s">
        <v>1209</v>
      </c>
      <c r="C290" s="10">
        <v>0.06</v>
      </c>
      <c r="D290" s="11" t="s">
        <v>1336</v>
      </c>
    </row>
    <row r="291" spans="1:4">
      <c r="A291" s="8">
        <v>1813</v>
      </c>
      <c r="B291" s="9" t="s">
        <v>1038</v>
      </c>
      <c r="C291" s="10">
        <v>0.06</v>
      </c>
      <c r="D291" s="11" t="s">
        <v>1336</v>
      </c>
    </row>
    <row r="292" spans="1:4">
      <c r="A292" s="8">
        <v>2807</v>
      </c>
      <c r="B292" s="9" t="s">
        <v>1210</v>
      </c>
      <c r="C292" s="10">
        <v>0.06</v>
      </c>
      <c r="D292" s="11" t="s">
        <v>1336</v>
      </c>
    </row>
    <row r="293" spans="1:4">
      <c r="A293" s="8">
        <v>2809</v>
      </c>
      <c r="B293" s="9" t="s">
        <v>1211</v>
      </c>
      <c r="C293" s="10">
        <v>0.06</v>
      </c>
      <c r="D293" s="11" t="s">
        <v>1336</v>
      </c>
    </row>
    <row r="294" spans="1:4">
      <c r="A294" s="8">
        <v>2810</v>
      </c>
      <c r="B294" s="9" t="s">
        <v>1212</v>
      </c>
      <c r="C294" s="10">
        <v>0.06</v>
      </c>
      <c r="D294" s="11" t="s">
        <v>1336</v>
      </c>
    </row>
    <row r="295" spans="1:4">
      <c r="A295" s="8">
        <v>2811</v>
      </c>
      <c r="B295" s="9" t="s">
        <v>1213</v>
      </c>
      <c r="C295" s="10">
        <v>0.06</v>
      </c>
      <c r="D295" s="11" t="s">
        <v>1336</v>
      </c>
    </row>
    <row r="296" spans="1:4">
      <c r="A296" s="8">
        <v>2812</v>
      </c>
      <c r="B296" s="9" t="s">
        <v>1214</v>
      </c>
      <c r="C296" s="10">
        <v>0.06</v>
      </c>
      <c r="D296" s="11" t="s">
        <v>1336</v>
      </c>
    </row>
    <row r="297" spans="1:4">
      <c r="A297" s="8">
        <v>2813</v>
      </c>
      <c r="B297" s="9" t="s">
        <v>1215</v>
      </c>
      <c r="C297" s="10">
        <v>0.06</v>
      </c>
      <c r="D297" s="11" t="s">
        <v>1336</v>
      </c>
    </row>
    <row r="298" spans="1:4">
      <c r="A298" s="8">
        <v>2815</v>
      </c>
      <c r="B298" s="9" t="s">
        <v>1216</v>
      </c>
      <c r="C298" s="10">
        <v>0.06</v>
      </c>
      <c r="D298" s="11" t="s">
        <v>1336</v>
      </c>
    </row>
    <row r="299" spans="1:4">
      <c r="A299" s="8">
        <v>2816</v>
      </c>
      <c r="B299" s="9" t="s">
        <v>1217</v>
      </c>
      <c r="C299" s="10">
        <v>0.06</v>
      </c>
      <c r="D299" s="11" t="s">
        <v>1336</v>
      </c>
    </row>
    <row r="300" spans="1:4">
      <c r="A300" s="8">
        <v>2817</v>
      </c>
      <c r="B300" s="9" t="s">
        <v>1215</v>
      </c>
      <c r="C300" s="10">
        <v>0.06</v>
      </c>
      <c r="D300" s="11" t="s">
        <v>1336</v>
      </c>
    </row>
    <row r="301" spans="1:4">
      <c r="A301" s="8">
        <v>2819</v>
      </c>
      <c r="B301" s="9" t="s">
        <v>1218</v>
      </c>
      <c r="C301" s="10">
        <v>0.06</v>
      </c>
      <c r="D301" s="11" t="s">
        <v>1336</v>
      </c>
    </row>
    <row r="302" spans="1:4">
      <c r="A302" s="8">
        <v>2820</v>
      </c>
      <c r="B302" s="9" t="s">
        <v>1219</v>
      </c>
      <c r="C302" s="10">
        <v>0.06</v>
      </c>
      <c r="D302" s="11" t="s">
        <v>1336</v>
      </c>
    </row>
    <row r="303" spans="1:4">
      <c r="A303" s="8">
        <v>2821</v>
      </c>
      <c r="B303" s="9" t="s">
        <v>1220</v>
      </c>
      <c r="C303" s="10">
        <v>0.06</v>
      </c>
      <c r="D303" s="11" t="s">
        <v>1336</v>
      </c>
    </row>
    <row r="304" spans="1:4">
      <c r="A304" s="8">
        <v>2870</v>
      </c>
      <c r="B304" s="9" t="s">
        <v>1244</v>
      </c>
      <c r="C304" s="10">
        <v>0.06</v>
      </c>
      <c r="D304" s="11" t="s">
        <v>1336</v>
      </c>
    </row>
    <row r="305" spans="1:4">
      <c r="A305" s="8">
        <v>2871</v>
      </c>
      <c r="B305" s="9" t="s">
        <v>1245</v>
      </c>
      <c r="C305" s="10">
        <v>0.06</v>
      </c>
      <c r="D305" s="11" t="s">
        <v>1336</v>
      </c>
    </row>
    <row r="306" spans="1:4">
      <c r="A306" s="8">
        <v>2872</v>
      </c>
      <c r="B306" s="9" t="s">
        <v>1246</v>
      </c>
      <c r="C306" s="10">
        <v>0.06</v>
      </c>
      <c r="D306" s="11" t="s">
        <v>1336</v>
      </c>
    </row>
    <row r="307" spans="1:4">
      <c r="A307" s="8">
        <v>2873</v>
      </c>
      <c r="B307" s="9" t="s">
        <v>1247</v>
      </c>
      <c r="C307" s="10">
        <v>0.06</v>
      </c>
      <c r="D307" s="11" t="s">
        <v>1336</v>
      </c>
    </row>
    <row r="308" spans="1:4">
      <c r="A308" s="8">
        <v>2874</v>
      </c>
      <c r="B308" s="9" t="s">
        <v>1248</v>
      </c>
      <c r="C308" s="10">
        <v>0.06</v>
      </c>
      <c r="D308" s="11" t="s">
        <v>1336</v>
      </c>
    </row>
    <row r="309" spans="1:4">
      <c r="A309" s="8">
        <v>2875</v>
      </c>
      <c r="B309" s="9" t="s">
        <v>1249</v>
      </c>
      <c r="C309" s="10">
        <v>0.06</v>
      </c>
      <c r="D309" s="11" t="s">
        <v>1336</v>
      </c>
    </row>
    <row r="310" spans="1:4">
      <c r="A310" s="8">
        <v>2876</v>
      </c>
      <c r="B310" s="9" t="s">
        <v>1250</v>
      </c>
      <c r="C310" s="10">
        <v>0.06</v>
      </c>
      <c r="D310" s="11" t="s">
        <v>1336</v>
      </c>
    </row>
    <row r="311" spans="1:4">
      <c r="A311" s="8">
        <v>2877</v>
      </c>
      <c r="B311" s="9" t="s">
        <v>1251</v>
      </c>
      <c r="C311" s="10">
        <v>0.06</v>
      </c>
      <c r="D311" s="11" t="s">
        <v>1336</v>
      </c>
    </row>
    <row r="312" spans="1:4">
      <c r="A312" s="8">
        <v>2878</v>
      </c>
      <c r="B312" s="9" t="s">
        <v>1252</v>
      </c>
      <c r="C312" s="10">
        <v>0.06</v>
      </c>
      <c r="D312" s="11" t="s">
        <v>1336</v>
      </c>
    </row>
    <row r="313" spans="1:4">
      <c r="A313" s="8">
        <v>2879</v>
      </c>
      <c r="B313" s="9" t="s">
        <v>1253</v>
      </c>
      <c r="C313" s="10">
        <v>0.06</v>
      </c>
      <c r="D313" s="11" t="s">
        <v>1336</v>
      </c>
    </row>
    <row r="314" spans="1:4">
      <c r="A314" s="8">
        <v>2880</v>
      </c>
      <c r="B314" s="9" t="s">
        <v>1254</v>
      </c>
      <c r="C314" s="10">
        <v>0.06</v>
      </c>
      <c r="D314" s="11" t="s">
        <v>1336</v>
      </c>
    </row>
    <row r="315" spans="1:4">
      <c r="A315" s="8">
        <v>2881</v>
      </c>
      <c r="B315" s="9" t="s">
        <v>1255</v>
      </c>
      <c r="C315" s="10">
        <v>0.06</v>
      </c>
      <c r="D315" s="11" t="s">
        <v>1336</v>
      </c>
    </row>
    <row r="316" spans="1:4">
      <c r="A316" s="8">
        <v>2882</v>
      </c>
      <c r="B316" s="9" t="s">
        <v>1256</v>
      </c>
      <c r="C316" s="10">
        <v>0.06</v>
      </c>
      <c r="D316" s="11" t="s">
        <v>1336</v>
      </c>
    </row>
    <row r="317" spans="1:4">
      <c r="A317" s="8">
        <v>2883</v>
      </c>
      <c r="B317" s="9" t="s">
        <v>1257</v>
      </c>
      <c r="C317" s="10">
        <v>0.06</v>
      </c>
      <c r="D317" s="11" t="s">
        <v>1336</v>
      </c>
    </row>
    <row r="318" spans="1:4">
      <c r="A318" s="8">
        <v>2884</v>
      </c>
      <c r="B318" s="9" t="s">
        <v>1258</v>
      </c>
      <c r="C318" s="10">
        <v>0.06</v>
      </c>
      <c r="D318" s="11" t="s">
        <v>1336</v>
      </c>
    </row>
    <row r="319" spans="1:4">
      <c r="A319" s="8">
        <v>2885</v>
      </c>
      <c r="B319" s="9" t="s">
        <v>1259</v>
      </c>
      <c r="C319" s="10">
        <v>0.06</v>
      </c>
      <c r="D319" s="11" t="s">
        <v>1336</v>
      </c>
    </row>
    <row r="320" spans="1:4">
      <c r="A320" s="8">
        <v>2822</v>
      </c>
      <c r="B320" s="9" t="s">
        <v>1221</v>
      </c>
      <c r="C320" s="10">
        <v>0.06</v>
      </c>
      <c r="D320" s="11" t="s">
        <v>1336</v>
      </c>
    </row>
    <row r="321" spans="1:4">
      <c r="A321" s="8">
        <v>2824</v>
      </c>
      <c r="B321" s="9" t="s">
        <v>1222</v>
      </c>
      <c r="C321" s="10">
        <v>0.06</v>
      </c>
      <c r="D321" s="11" t="s">
        <v>1336</v>
      </c>
    </row>
    <row r="322" spans="1:4">
      <c r="A322" s="8">
        <v>2825</v>
      </c>
      <c r="B322" s="9" t="s">
        <v>1223</v>
      </c>
      <c r="C322" s="10">
        <v>0.06</v>
      </c>
      <c r="D322" s="11" t="s">
        <v>1336</v>
      </c>
    </row>
    <row r="323" spans="1:4">
      <c r="A323" s="8">
        <v>2826</v>
      </c>
      <c r="B323" s="9" t="s">
        <v>1224</v>
      </c>
      <c r="C323" s="10">
        <v>0.06</v>
      </c>
      <c r="D323" s="11" t="s">
        <v>1336</v>
      </c>
    </row>
    <row r="324" spans="1:4">
      <c r="A324" s="8">
        <v>2827</v>
      </c>
      <c r="B324" s="9" t="s">
        <v>1225</v>
      </c>
      <c r="C324" s="10">
        <v>0.06</v>
      </c>
      <c r="D324" s="11" t="s">
        <v>1336</v>
      </c>
    </row>
    <row r="325" spans="1:4">
      <c r="A325" s="8">
        <v>2828</v>
      </c>
      <c r="B325" s="9" t="s">
        <v>1226</v>
      </c>
      <c r="C325" s="10">
        <v>0.06</v>
      </c>
      <c r="D325" s="11" t="s">
        <v>1336</v>
      </c>
    </row>
    <row r="326" spans="1:4">
      <c r="A326" s="8">
        <v>2829</v>
      </c>
      <c r="B326" s="9" t="s">
        <v>740</v>
      </c>
      <c r="C326" s="10">
        <v>0.06</v>
      </c>
      <c r="D326" s="11" t="s">
        <v>1336</v>
      </c>
    </row>
    <row r="327" spans="1:4">
      <c r="A327" s="8">
        <v>2478</v>
      </c>
      <c r="B327" s="9" t="s">
        <v>1112</v>
      </c>
      <c r="C327" s="10">
        <v>0.06</v>
      </c>
      <c r="D327" s="11" t="s">
        <v>1336</v>
      </c>
    </row>
    <row r="328" spans="1:4">
      <c r="A328" s="8">
        <v>2055</v>
      </c>
      <c r="B328" s="9" t="s">
        <v>1071</v>
      </c>
      <c r="C328" s="10">
        <v>0.06</v>
      </c>
      <c r="D328" s="11" t="s">
        <v>1336</v>
      </c>
    </row>
    <row r="329" spans="1:4">
      <c r="A329" s="8">
        <v>2916</v>
      </c>
      <c r="B329" s="9" t="s">
        <v>1277</v>
      </c>
      <c r="C329" s="10">
        <v>0.06</v>
      </c>
      <c r="D329" s="11" t="s">
        <v>1336</v>
      </c>
    </row>
    <row r="330" spans="1:4">
      <c r="A330" s="8">
        <v>2833</v>
      </c>
      <c r="B330" s="9" t="s">
        <v>1227</v>
      </c>
      <c r="C330" s="10">
        <v>0.06</v>
      </c>
      <c r="D330" s="11" t="s">
        <v>1336</v>
      </c>
    </row>
    <row r="331" spans="1:4">
      <c r="A331" s="8">
        <v>1814</v>
      </c>
      <c r="B331" s="9" t="s">
        <v>1039</v>
      </c>
      <c r="C331" s="10">
        <v>0.06</v>
      </c>
      <c r="D331" s="11" t="s">
        <v>1336</v>
      </c>
    </row>
    <row r="332" spans="1:4">
      <c r="A332" s="8">
        <v>2834</v>
      </c>
      <c r="B332" s="9" t="s">
        <v>1228</v>
      </c>
      <c r="C332" s="10">
        <v>0.06</v>
      </c>
      <c r="D332" s="11" t="s">
        <v>1336</v>
      </c>
    </row>
    <row r="333" spans="1:4">
      <c r="A333" s="8">
        <v>1433</v>
      </c>
      <c r="B333" s="9" t="s">
        <v>1401</v>
      </c>
      <c r="C333" s="10">
        <v>0.06</v>
      </c>
      <c r="D333" s="11" t="s">
        <v>1336</v>
      </c>
    </row>
    <row r="334" spans="1:4">
      <c r="A334" s="8">
        <v>2835</v>
      </c>
      <c r="B334" s="9" t="s">
        <v>1229</v>
      </c>
      <c r="C334" s="10">
        <v>0.06</v>
      </c>
      <c r="D334" s="11" t="s">
        <v>1336</v>
      </c>
    </row>
    <row r="335" spans="1:4">
      <c r="A335" s="8">
        <v>2836</v>
      </c>
      <c r="B335" s="9" t="s">
        <v>759</v>
      </c>
      <c r="C335" s="10">
        <v>0.06</v>
      </c>
      <c r="D335" s="11" t="s">
        <v>1336</v>
      </c>
    </row>
    <row r="336" spans="1:4">
      <c r="A336" s="8">
        <v>2548</v>
      </c>
      <c r="B336" s="9" t="s">
        <v>1114</v>
      </c>
      <c r="C336" s="10">
        <v>0.09</v>
      </c>
      <c r="D336" s="11" t="s">
        <v>1336</v>
      </c>
    </row>
    <row r="337" spans="1:4">
      <c r="A337" s="8">
        <v>2837</v>
      </c>
      <c r="B337" s="9" t="s">
        <v>897</v>
      </c>
      <c r="C337" s="10">
        <v>0.06</v>
      </c>
      <c r="D337" s="11" t="s">
        <v>1336</v>
      </c>
    </row>
    <row r="338" spans="1:4">
      <c r="A338" s="8">
        <v>1946</v>
      </c>
      <c r="B338" s="9" t="s">
        <v>891</v>
      </c>
      <c r="C338" s="10">
        <v>0.06</v>
      </c>
      <c r="D338" s="11" t="s">
        <v>1336</v>
      </c>
    </row>
    <row r="339" spans="1:4">
      <c r="A339" s="8">
        <v>1947</v>
      </c>
      <c r="B339" s="9" t="s">
        <v>403</v>
      </c>
      <c r="C339" s="10">
        <v>0.06</v>
      </c>
      <c r="D339" s="11" t="s">
        <v>1336</v>
      </c>
    </row>
    <row r="340" spans="1:4">
      <c r="A340" s="8">
        <v>2446</v>
      </c>
      <c r="B340" s="9" t="s">
        <v>1107</v>
      </c>
      <c r="C340" s="10">
        <v>0.06</v>
      </c>
      <c r="D340" s="11" t="s">
        <v>1336</v>
      </c>
    </row>
    <row r="341" spans="1:4">
      <c r="A341" s="8">
        <v>2447</v>
      </c>
      <c r="B341" s="9" t="s">
        <v>1108</v>
      </c>
      <c r="C341" s="10">
        <v>0.06</v>
      </c>
      <c r="D341" s="11" t="s">
        <v>1336</v>
      </c>
    </row>
    <row r="342" spans="1:4">
      <c r="A342" s="8">
        <v>2448</v>
      </c>
      <c r="B342" s="9" t="s">
        <v>1109</v>
      </c>
      <c r="C342" s="10">
        <v>0.06</v>
      </c>
      <c r="D342" s="11" t="s">
        <v>1336</v>
      </c>
    </row>
    <row r="343" spans="1:4">
      <c r="A343" s="8">
        <v>2449</v>
      </c>
      <c r="B343" s="9" t="s">
        <v>1110</v>
      </c>
      <c r="C343" s="10">
        <v>0.06</v>
      </c>
      <c r="D343" s="11" t="s">
        <v>1336</v>
      </c>
    </row>
    <row r="344" spans="1:4">
      <c r="A344" s="8">
        <v>2838</v>
      </c>
      <c r="B344" s="9" t="s">
        <v>1230</v>
      </c>
      <c r="C344" s="10">
        <v>0.06</v>
      </c>
      <c r="D344" s="11" t="s">
        <v>1336</v>
      </c>
    </row>
    <row r="345" spans="1:4">
      <c r="A345" s="8">
        <v>2839</v>
      </c>
      <c r="B345" s="9" t="s">
        <v>1231</v>
      </c>
      <c r="C345" s="10">
        <v>0.06</v>
      </c>
      <c r="D345" s="11" t="s">
        <v>1336</v>
      </c>
    </row>
    <row r="346" spans="1:4">
      <c r="A346" s="8">
        <v>2450</v>
      </c>
      <c r="B346" s="9" t="s">
        <v>1111</v>
      </c>
      <c r="C346" s="10">
        <v>0.06</v>
      </c>
      <c r="D346" s="11" t="s">
        <v>1336</v>
      </c>
    </row>
    <row r="347" spans="1:4">
      <c r="A347" s="8">
        <v>1949</v>
      </c>
      <c r="B347" s="9" t="s">
        <v>894</v>
      </c>
      <c r="C347" s="10">
        <v>0.06</v>
      </c>
      <c r="D347" s="11" t="s">
        <v>1336</v>
      </c>
    </row>
    <row r="348" spans="1:4">
      <c r="A348" s="8">
        <v>1673</v>
      </c>
      <c r="B348" s="9" t="s">
        <v>1010</v>
      </c>
      <c r="C348" s="10">
        <v>0.06</v>
      </c>
      <c r="D348" s="11" t="s">
        <v>1336</v>
      </c>
    </row>
    <row r="349" spans="1:4">
      <c r="A349" s="8">
        <v>1674</v>
      </c>
      <c r="B349" s="9" t="s">
        <v>1011</v>
      </c>
      <c r="C349" s="10">
        <v>0.06</v>
      </c>
      <c r="D349" s="11" t="s">
        <v>1336</v>
      </c>
    </row>
    <row r="350" spans="1:4">
      <c r="A350" s="8">
        <v>1675</v>
      </c>
      <c r="B350" s="9" t="s">
        <v>558</v>
      </c>
      <c r="C350" s="10">
        <v>0.06</v>
      </c>
      <c r="D350" s="11" t="s">
        <v>1336</v>
      </c>
    </row>
    <row r="351" spans="1:4">
      <c r="A351" s="8">
        <v>1676</v>
      </c>
      <c r="B351" s="9" t="s">
        <v>1012</v>
      </c>
      <c r="C351" s="10">
        <v>0.06</v>
      </c>
      <c r="D351" s="11" t="s">
        <v>1336</v>
      </c>
    </row>
    <row r="352" spans="1:4">
      <c r="A352" s="8">
        <v>1677</v>
      </c>
      <c r="B352" s="9" t="s">
        <v>1013</v>
      </c>
      <c r="C352" s="10">
        <v>0.06</v>
      </c>
      <c r="D352" s="11" t="s">
        <v>1336</v>
      </c>
    </row>
    <row r="353" spans="1:4">
      <c r="A353" s="8">
        <v>1678</v>
      </c>
      <c r="B353" s="9" t="s">
        <v>553</v>
      </c>
      <c r="C353" s="10">
        <v>0.06</v>
      </c>
      <c r="D353" s="11" t="s">
        <v>1336</v>
      </c>
    </row>
    <row r="354" spans="1:4">
      <c r="A354" s="8">
        <v>1724</v>
      </c>
      <c r="B354" s="9" t="s">
        <v>1016</v>
      </c>
      <c r="C354" s="10">
        <v>0.06</v>
      </c>
      <c r="D354" s="11" t="s">
        <v>1336</v>
      </c>
    </row>
    <row r="355" spans="1:4">
      <c r="A355" s="8">
        <v>1950</v>
      </c>
      <c r="B355" s="9" t="s">
        <v>485</v>
      </c>
      <c r="C355" s="10">
        <v>0.06</v>
      </c>
      <c r="D355" s="11" t="s">
        <v>1336</v>
      </c>
    </row>
    <row r="356" spans="1:4">
      <c r="A356" s="8">
        <v>2842</v>
      </c>
      <c r="B356" s="9" t="s">
        <v>1232</v>
      </c>
      <c r="C356" s="10">
        <v>0.06</v>
      </c>
      <c r="D356" s="11" t="s">
        <v>1336</v>
      </c>
    </row>
    <row r="357" spans="1:4">
      <c r="A357" s="8">
        <v>2843</v>
      </c>
      <c r="B357" s="9" t="s">
        <v>1233</v>
      </c>
      <c r="C357" s="10">
        <v>0.06</v>
      </c>
      <c r="D357" s="11" t="s">
        <v>1336</v>
      </c>
    </row>
    <row r="358" spans="1:4">
      <c r="A358" s="8">
        <v>2917</v>
      </c>
      <c r="B358" s="9" t="s">
        <v>1278</v>
      </c>
      <c r="C358" s="10">
        <v>0.06</v>
      </c>
      <c r="D358" s="11" t="s">
        <v>1336</v>
      </c>
    </row>
    <row r="359" spans="1:4">
      <c r="A359" s="8">
        <v>1681</v>
      </c>
      <c r="B359" s="9" t="s">
        <v>944</v>
      </c>
      <c r="C359" s="10">
        <v>0.06</v>
      </c>
      <c r="D359" s="11" t="s">
        <v>1336</v>
      </c>
    </row>
    <row r="360" spans="1:4">
      <c r="A360" s="8">
        <v>1577</v>
      </c>
      <c r="B360" s="9" t="s">
        <v>214</v>
      </c>
      <c r="C360" s="10">
        <v>0.06</v>
      </c>
      <c r="D360" s="11" t="s">
        <v>1336</v>
      </c>
    </row>
    <row r="361" spans="1:4">
      <c r="A361" s="8">
        <v>1578</v>
      </c>
      <c r="B361" s="9" t="s">
        <v>292</v>
      </c>
      <c r="C361" s="10">
        <v>0.06</v>
      </c>
      <c r="D361" s="11" t="s">
        <v>1336</v>
      </c>
    </row>
    <row r="362" spans="1:4">
      <c r="A362" s="8">
        <v>1579</v>
      </c>
      <c r="B362" s="9" t="s">
        <v>286</v>
      </c>
      <c r="C362" s="10">
        <v>0.06</v>
      </c>
      <c r="D362" s="11" t="s">
        <v>1336</v>
      </c>
    </row>
    <row r="363" spans="1:4">
      <c r="A363" s="8">
        <v>1580</v>
      </c>
      <c r="B363" s="9" t="s">
        <v>232</v>
      </c>
      <c r="C363" s="10">
        <v>0.06</v>
      </c>
      <c r="D363" s="11" t="s">
        <v>1336</v>
      </c>
    </row>
    <row r="364" spans="1:4">
      <c r="A364" s="8">
        <v>1581</v>
      </c>
      <c r="B364" s="9" t="s">
        <v>827</v>
      </c>
      <c r="C364" s="10">
        <v>0.06</v>
      </c>
      <c r="D364" s="11" t="s">
        <v>1336</v>
      </c>
    </row>
    <row r="365" spans="1:4">
      <c r="A365" s="8">
        <v>1582</v>
      </c>
      <c r="B365" s="9" t="s">
        <v>789</v>
      </c>
      <c r="C365" s="10">
        <v>0.06</v>
      </c>
      <c r="D365" s="11" t="s">
        <v>1336</v>
      </c>
    </row>
    <row r="366" spans="1:4">
      <c r="A366" s="8">
        <v>1583</v>
      </c>
      <c r="B366" s="9" t="s">
        <v>357</v>
      </c>
      <c r="C366" s="10">
        <v>0.06</v>
      </c>
      <c r="D366" s="11" t="s">
        <v>1336</v>
      </c>
    </row>
    <row r="367" spans="1:4">
      <c r="A367" s="8">
        <v>1586</v>
      </c>
      <c r="B367" s="9" t="s">
        <v>854</v>
      </c>
      <c r="C367" s="10">
        <v>0.06</v>
      </c>
      <c r="D367" s="11" t="s">
        <v>1336</v>
      </c>
    </row>
    <row r="368" spans="1:4">
      <c r="A368" s="8">
        <v>1589</v>
      </c>
      <c r="B368" s="9" t="s">
        <v>819</v>
      </c>
      <c r="C368" s="10">
        <v>0.06</v>
      </c>
      <c r="D368" s="11" t="s">
        <v>1336</v>
      </c>
    </row>
    <row r="369" spans="1:4">
      <c r="A369" s="8">
        <v>1590</v>
      </c>
      <c r="B369" s="9" t="s">
        <v>210</v>
      </c>
      <c r="C369" s="10">
        <v>0.06</v>
      </c>
      <c r="D369" s="11" t="s">
        <v>1336</v>
      </c>
    </row>
    <row r="370" spans="1:4">
      <c r="A370" s="8">
        <v>1591</v>
      </c>
      <c r="B370" s="9" t="s">
        <v>220</v>
      </c>
      <c r="C370" s="10">
        <v>0.06</v>
      </c>
      <c r="D370" s="11" t="s">
        <v>1336</v>
      </c>
    </row>
    <row r="371" spans="1:4">
      <c r="A371" s="8">
        <v>1592</v>
      </c>
      <c r="B371" s="9" t="s">
        <v>331</v>
      </c>
      <c r="C371" s="10">
        <v>0.06</v>
      </c>
      <c r="D371" s="11" t="s">
        <v>1336</v>
      </c>
    </row>
    <row r="372" spans="1:4">
      <c r="A372" s="8">
        <v>1593</v>
      </c>
      <c r="B372" s="9" t="s">
        <v>831</v>
      </c>
      <c r="C372" s="10">
        <v>0.06</v>
      </c>
      <c r="D372" s="11" t="s">
        <v>1336</v>
      </c>
    </row>
    <row r="373" spans="1:4">
      <c r="A373" s="8">
        <v>1594</v>
      </c>
      <c r="B373" s="9" t="s">
        <v>837</v>
      </c>
      <c r="C373" s="10">
        <v>0.06</v>
      </c>
      <c r="D373" s="11" t="s">
        <v>1336</v>
      </c>
    </row>
    <row r="374" spans="1:4">
      <c r="A374" s="8">
        <v>1986</v>
      </c>
      <c r="B374" s="9" t="s">
        <v>851</v>
      </c>
      <c r="C374" s="10">
        <v>0.06</v>
      </c>
      <c r="D374" s="11" t="s">
        <v>1336</v>
      </c>
    </row>
    <row r="375" spans="1:4">
      <c r="A375" s="8">
        <v>1991</v>
      </c>
      <c r="B375" s="9" t="s">
        <v>721</v>
      </c>
      <c r="C375" s="10">
        <v>0.06</v>
      </c>
      <c r="D375" s="11" t="s">
        <v>1336</v>
      </c>
    </row>
    <row r="376" spans="1:4">
      <c r="A376" s="8">
        <v>1985</v>
      </c>
      <c r="B376" s="9" t="s">
        <v>1064</v>
      </c>
      <c r="C376" s="10">
        <v>0.06</v>
      </c>
      <c r="D376" s="11" t="s">
        <v>1336</v>
      </c>
    </row>
    <row r="377" spans="1:4">
      <c r="A377" s="8">
        <v>2440</v>
      </c>
      <c r="B377" s="9" t="s">
        <v>1106</v>
      </c>
      <c r="C377" s="10">
        <v>0.06</v>
      </c>
      <c r="D377" s="11" t="s">
        <v>1336</v>
      </c>
    </row>
    <row r="378" spans="1:4">
      <c r="A378" s="8">
        <v>2686</v>
      </c>
      <c r="B378" s="9" t="s">
        <v>1160</v>
      </c>
      <c r="C378" s="10">
        <v>0.06</v>
      </c>
      <c r="D378" s="11" t="s">
        <v>1336</v>
      </c>
    </row>
    <row r="379" spans="1:4">
      <c r="A379" s="8">
        <v>2692</v>
      </c>
      <c r="B379" s="9" t="s">
        <v>1166</v>
      </c>
      <c r="C379" s="10">
        <v>0.06</v>
      </c>
      <c r="D379" s="11" t="s">
        <v>1336</v>
      </c>
    </row>
    <row r="380" spans="1:4">
      <c r="A380" s="8">
        <v>2486</v>
      </c>
      <c r="B380" s="9" t="s">
        <v>1113</v>
      </c>
      <c r="C380" s="10">
        <v>0.06</v>
      </c>
      <c r="D380" s="11" t="s">
        <v>1336</v>
      </c>
    </row>
    <row r="381" spans="1:4">
      <c r="A381" s="8">
        <v>2918</v>
      </c>
      <c r="B381" s="9" t="s">
        <v>1279</v>
      </c>
      <c r="C381" s="10">
        <v>0.06</v>
      </c>
      <c r="D381" s="11" t="s">
        <v>1336</v>
      </c>
    </row>
    <row r="382" spans="1:4">
      <c r="A382" s="8">
        <v>2848</v>
      </c>
      <c r="B382" s="9" t="s">
        <v>260</v>
      </c>
      <c r="C382" s="10">
        <v>0.06</v>
      </c>
      <c r="D382" s="11" t="s">
        <v>1336</v>
      </c>
    </row>
    <row r="383" spans="1:4">
      <c r="A383" s="8">
        <v>1658</v>
      </c>
      <c r="B383" s="9" t="s">
        <v>1007</v>
      </c>
      <c r="C383" s="10">
        <v>0.06</v>
      </c>
      <c r="D383" s="11" t="s">
        <v>1336</v>
      </c>
    </row>
    <row r="384" spans="1:4">
      <c r="A384" s="8">
        <v>1657</v>
      </c>
      <c r="B384" s="9" t="s">
        <v>1006</v>
      </c>
      <c r="C384" s="10">
        <v>0.06</v>
      </c>
      <c r="D384" s="11" t="s">
        <v>1336</v>
      </c>
    </row>
    <row r="385" spans="1:4">
      <c r="A385" s="8">
        <v>1661</v>
      </c>
      <c r="B385" s="9" t="s">
        <v>1009</v>
      </c>
      <c r="C385" s="10">
        <v>0.06</v>
      </c>
      <c r="D385" s="11" t="s">
        <v>1336</v>
      </c>
    </row>
    <row r="386" spans="1:4">
      <c r="A386" s="8">
        <v>1660</v>
      </c>
      <c r="B386" s="9" t="s">
        <v>1008</v>
      </c>
      <c r="C386" s="10">
        <v>0.06</v>
      </c>
      <c r="D386" s="11" t="s">
        <v>1336</v>
      </c>
    </row>
    <row r="387" spans="1:4">
      <c r="A387" s="8">
        <v>2688</v>
      </c>
      <c r="B387" s="9" t="s">
        <v>1162</v>
      </c>
      <c r="C387" s="10">
        <v>0.06</v>
      </c>
      <c r="D387" s="11" t="s">
        <v>1336</v>
      </c>
    </row>
    <row r="388" spans="1:4">
      <c r="A388" s="8">
        <v>1911</v>
      </c>
      <c r="B388" s="9" t="s">
        <v>482</v>
      </c>
      <c r="C388" s="10">
        <v>0.06</v>
      </c>
      <c r="D388" s="11" t="s">
        <v>1336</v>
      </c>
    </row>
    <row r="389" spans="1:4">
      <c r="A389" s="8">
        <v>1912</v>
      </c>
      <c r="B389" s="9" t="s">
        <v>666</v>
      </c>
      <c r="C389" s="10">
        <v>0.06</v>
      </c>
      <c r="D389" s="11" t="s">
        <v>1336</v>
      </c>
    </row>
    <row r="390" spans="1:4">
      <c r="A390" s="8">
        <v>1913</v>
      </c>
      <c r="B390" s="9" t="s">
        <v>669</v>
      </c>
      <c r="C390" s="10">
        <v>0.06</v>
      </c>
      <c r="D390" s="11" t="s">
        <v>1336</v>
      </c>
    </row>
    <row r="391" spans="1:4">
      <c r="A391" s="8">
        <v>1914</v>
      </c>
      <c r="B391" s="9" t="s">
        <v>672</v>
      </c>
      <c r="C391" s="10">
        <v>0.06</v>
      </c>
      <c r="D391" s="11" t="s">
        <v>1336</v>
      </c>
    </row>
    <row r="392" spans="1:4">
      <c r="A392" s="8">
        <v>1915</v>
      </c>
      <c r="B392" s="9" t="s">
        <v>675</v>
      </c>
      <c r="C392" s="10">
        <v>0.06</v>
      </c>
      <c r="D392" s="11" t="s">
        <v>1336</v>
      </c>
    </row>
    <row r="393" spans="1:4">
      <c r="A393" s="8">
        <v>1916</v>
      </c>
      <c r="B393" s="9" t="s">
        <v>1041</v>
      </c>
      <c r="C393" s="10">
        <v>0.06</v>
      </c>
      <c r="D393" s="11" t="s">
        <v>1336</v>
      </c>
    </row>
    <row r="394" spans="1:4">
      <c r="A394" s="8">
        <v>1631</v>
      </c>
      <c r="B394" s="9" t="s">
        <v>308</v>
      </c>
      <c r="C394" s="10">
        <v>0.06</v>
      </c>
      <c r="D394" s="11" t="s">
        <v>1336</v>
      </c>
    </row>
    <row r="395" spans="1:4">
      <c r="A395" s="8">
        <v>1625</v>
      </c>
      <c r="B395" s="9" t="s">
        <v>247</v>
      </c>
      <c r="C395" s="10">
        <v>0.06</v>
      </c>
      <c r="D395" s="11" t="s">
        <v>1336</v>
      </c>
    </row>
    <row r="396" spans="1:4">
      <c r="A396" s="8">
        <v>1616</v>
      </c>
      <c r="B396" s="9" t="s">
        <v>320</v>
      </c>
      <c r="C396" s="10">
        <v>0.06</v>
      </c>
      <c r="D396" s="11" t="s">
        <v>1336</v>
      </c>
    </row>
    <row r="397" spans="1:4">
      <c r="A397" s="8">
        <v>1622</v>
      </c>
      <c r="B397" s="9" t="s">
        <v>252</v>
      </c>
      <c r="C397" s="10">
        <v>0.06</v>
      </c>
      <c r="D397" s="11" t="s">
        <v>1336</v>
      </c>
    </row>
    <row r="398" spans="1:4">
      <c r="A398" s="8">
        <v>1637</v>
      </c>
      <c r="B398" s="9" t="s">
        <v>205</v>
      </c>
      <c r="C398" s="10">
        <v>0.06</v>
      </c>
      <c r="D398" s="11" t="s">
        <v>1336</v>
      </c>
    </row>
    <row r="399" spans="1:4">
      <c r="A399" s="8">
        <v>1640</v>
      </c>
      <c r="B399" s="9" t="s">
        <v>623</v>
      </c>
      <c r="C399" s="10">
        <v>0.06</v>
      </c>
      <c r="D399" s="11" t="s">
        <v>1336</v>
      </c>
    </row>
    <row r="400" spans="1:4">
      <c r="A400" s="8">
        <v>1643</v>
      </c>
      <c r="B400" s="9" t="s">
        <v>1005</v>
      </c>
      <c r="C400" s="10">
        <v>0.06</v>
      </c>
      <c r="D400" s="11" t="s">
        <v>1336</v>
      </c>
    </row>
    <row r="401" spans="1:4">
      <c r="A401" s="8">
        <v>1939</v>
      </c>
      <c r="B401" s="9" t="s">
        <v>663</v>
      </c>
      <c r="C401" s="10">
        <v>0.06</v>
      </c>
      <c r="D401" s="11" t="s">
        <v>1336</v>
      </c>
    </row>
    <row r="402" spans="1:4">
      <c r="A402" s="8">
        <v>1653</v>
      </c>
      <c r="B402" s="9" t="s">
        <v>456</v>
      </c>
      <c r="C402" s="10">
        <v>0.06</v>
      </c>
      <c r="D402" s="11" t="s">
        <v>1336</v>
      </c>
    </row>
    <row r="403" spans="1:4">
      <c r="A403" s="8">
        <v>1628</v>
      </c>
      <c r="B403" s="9" t="s">
        <v>257</v>
      </c>
      <c r="C403" s="10">
        <v>0.06</v>
      </c>
      <c r="D403" s="11" t="s">
        <v>1336</v>
      </c>
    </row>
    <row r="404" spans="1:4">
      <c r="A404" s="8">
        <v>1634</v>
      </c>
      <c r="B404" s="9" t="s">
        <v>240</v>
      </c>
      <c r="C404" s="10">
        <v>0.06</v>
      </c>
      <c r="D404" s="11" t="s">
        <v>1336</v>
      </c>
    </row>
    <row r="405" spans="1:4">
      <c r="A405" s="8">
        <v>1981</v>
      </c>
      <c r="B405" s="9" t="s">
        <v>1063</v>
      </c>
      <c r="C405" s="10">
        <v>0.06</v>
      </c>
      <c r="D405" s="11" t="s">
        <v>1336</v>
      </c>
    </row>
    <row r="406" spans="1:4">
      <c r="A406" s="8">
        <v>2689</v>
      </c>
      <c r="B406" s="9" t="s">
        <v>1163</v>
      </c>
      <c r="C406" s="10">
        <v>0.06</v>
      </c>
      <c r="D406" s="11" t="s">
        <v>1336</v>
      </c>
    </row>
    <row r="407" spans="1:4">
      <c r="A407" s="8">
        <v>2690</v>
      </c>
      <c r="B407" s="9" t="s">
        <v>1164</v>
      </c>
      <c r="C407" s="10">
        <v>0.06</v>
      </c>
      <c r="D407" s="11" t="s">
        <v>1336</v>
      </c>
    </row>
    <row r="408" spans="1:4">
      <c r="A408" s="8">
        <v>2691</v>
      </c>
      <c r="B408" s="9" t="s">
        <v>1165</v>
      </c>
      <c r="C408" s="10">
        <v>0.06</v>
      </c>
      <c r="D408" s="11" t="s">
        <v>1336</v>
      </c>
    </row>
    <row r="409" spans="1:4">
      <c r="A409" s="8">
        <v>2886</v>
      </c>
      <c r="B409" s="9" t="s">
        <v>1260</v>
      </c>
      <c r="C409" s="10">
        <v>0.06</v>
      </c>
      <c r="D409" s="11" t="s">
        <v>1336</v>
      </c>
    </row>
    <row r="410" spans="1:4">
      <c r="A410" s="8">
        <v>1706</v>
      </c>
      <c r="B410" s="9" t="s">
        <v>478</v>
      </c>
      <c r="C410" s="10">
        <v>0.06</v>
      </c>
      <c r="D410" s="11" t="s">
        <v>1336</v>
      </c>
    </row>
    <row r="411" spans="1:4">
      <c r="A411" s="8">
        <v>1710</v>
      </c>
      <c r="B411" s="9" t="s">
        <v>1402</v>
      </c>
      <c r="C411" s="10">
        <v>0.06</v>
      </c>
      <c r="D411" s="11" t="s">
        <v>1336</v>
      </c>
    </row>
    <row r="412" spans="1:4">
      <c r="A412" s="8">
        <v>2443</v>
      </c>
      <c r="B412" s="9" t="s">
        <v>266</v>
      </c>
      <c r="C412" s="10">
        <v>0.06</v>
      </c>
      <c r="D412" s="11" t="s">
        <v>1336</v>
      </c>
    </row>
    <row r="413" spans="1:4">
      <c r="A413" s="8">
        <v>2928</v>
      </c>
      <c r="B413" s="9" t="s">
        <v>1282</v>
      </c>
      <c r="C413" s="10">
        <v>0.06</v>
      </c>
      <c r="D413" s="11" t="s">
        <v>1336</v>
      </c>
    </row>
    <row r="414" spans="1:4">
      <c r="A414" s="8">
        <v>2929</v>
      </c>
      <c r="B414" s="9" t="s">
        <v>1283</v>
      </c>
      <c r="C414" s="10">
        <v>0.06</v>
      </c>
      <c r="D414" s="11" t="s">
        <v>1336</v>
      </c>
    </row>
    <row r="415" spans="1:4">
      <c r="A415" s="8">
        <v>1918</v>
      </c>
      <c r="B415" s="9" t="s">
        <v>1403</v>
      </c>
      <c r="C415" s="10">
        <v>0.06</v>
      </c>
      <c r="D415" s="11" t="s">
        <v>1336</v>
      </c>
    </row>
    <row r="416" spans="1:4">
      <c r="A416" s="8">
        <v>1920</v>
      </c>
      <c r="B416" s="9" t="s">
        <v>1404</v>
      </c>
      <c r="C416" s="10">
        <v>0.06</v>
      </c>
      <c r="D416" s="11" t="s">
        <v>1336</v>
      </c>
    </row>
    <row r="417" spans="1:4">
      <c r="A417" s="8">
        <v>1921</v>
      </c>
      <c r="B417" s="9" t="s">
        <v>1405</v>
      </c>
      <c r="C417" s="10">
        <v>0.06</v>
      </c>
      <c r="D417" s="11" t="s">
        <v>1336</v>
      </c>
    </row>
    <row r="418" spans="1:4">
      <c r="A418" s="8">
        <v>1922</v>
      </c>
      <c r="B418" s="9" t="s">
        <v>1406</v>
      </c>
      <c r="C418" s="10">
        <v>0.06</v>
      </c>
      <c r="D418" s="11" t="s">
        <v>1336</v>
      </c>
    </row>
    <row r="419" spans="1:4">
      <c r="A419" s="8">
        <v>1923</v>
      </c>
      <c r="B419" s="9" t="s">
        <v>1407</v>
      </c>
      <c r="C419" s="10">
        <v>0.06</v>
      </c>
      <c r="D419" s="11" t="s">
        <v>1336</v>
      </c>
    </row>
    <row r="420" spans="1:4">
      <c r="A420" s="8">
        <v>1925</v>
      </c>
      <c r="B420" s="9" t="s">
        <v>1408</v>
      </c>
      <c r="C420" s="10">
        <v>0.06</v>
      </c>
      <c r="D420" s="11" t="s">
        <v>1336</v>
      </c>
    </row>
    <row r="421" spans="1:4">
      <c r="A421" s="8">
        <v>1926</v>
      </c>
      <c r="B421" s="9" t="s">
        <v>1409</v>
      </c>
      <c r="C421" s="10">
        <v>0.06</v>
      </c>
      <c r="D421" s="11" t="s">
        <v>1336</v>
      </c>
    </row>
    <row r="422" spans="1:4">
      <c r="A422" s="8">
        <v>1927</v>
      </c>
      <c r="B422" s="9" t="s">
        <v>1410</v>
      </c>
      <c r="C422" s="10">
        <v>0.06</v>
      </c>
      <c r="D422" s="11" t="s">
        <v>1336</v>
      </c>
    </row>
    <row r="423" spans="1:4">
      <c r="A423" s="8">
        <v>1929</v>
      </c>
      <c r="B423" s="9" t="s">
        <v>1411</v>
      </c>
      <c r="C423" s="10">
        <v>0.06</v>
      </c>
      <c r="D423" s="11" t="s">
        <v>1336</v>
      </c>
    </row>
    <row r="424" spans="1:4">
      <c r="A424" s="8">
        <v>1930</v>
      </c>
      <c r="B424" s="9" t="s">
        <v>1412</v>
      </c>
      <c r="C424" s="10">
        <v>0.06</v>
      </c>
      <c r="D424" s="11" t="s">
        <v>1336</v>
      </c>
    </row>
    <row r="425" spans="1:4">
      <c r="A425" s="8">
        <v>1931</v>
      </c>
      <c r="B425" s="9" t="s">
        <v>1413</v>
      </c>
      <c r="C425" s="10">
        <v>0.06</v>
      </c>
      <c r="D425" s="11" t="s">
        <v>1336</v>
      </c>
    </row>
    <row r="426" spans="1:4">
      <c r="A426" s="8">
        <v>1932</v>
      </c>
      <c r="B426" s="9" t="s">
        <v>1414</v>
      </c>
      <c r="C426" s="10">
        <v>0.06</v>
      </c>
      <c r="D426" s="11" t="s">
        <v>1336</v>
      </c>
    </row>
    <row r="427" spans="1:4">
      <c r="A427" s="8">
        <v>2930</v>
      </c>
      <c r="B427" s="9" t="s">
        <v>1284</v>
      </c>
      <c r="C427" s="10">
        <v>0.06</v>
      </c>
      <c r="D427" s="11" t="s">
        <v>1336</v>
      </c>
    </row>
    <row r="428" spans="1:4">
      <c r="A428" s="8">
        <v>2850</v>
      </c>
      <c r="B428" s="9" t="s">
        <v>1234</v>
      </c>
      <c r="C428" s="10">
        <v>0.06</v>
      </c>
      <c r="D428" s="11" t="s">
        <v>1336</v>
      </c>
    </row>
    <row r="429" spans="1:4">
      <c r="A429" s="8">
        <v>2851</v>
      </c>
      <c r="B429" s="9" t="s">
        <v>1235</v>
      </c>
      <c r="C429" s="10">
        <v>0.06</v>
      </c>
      <c r="D429" s="11" t="s">
        <v>1336</v>
      </c>
    </row>
    <row r="430" spans="1:4">
      <c r="A430" s="8">
        <v>1933</v>
      </c>
      <c r="B430" s="9" t="s">
        <v>1415</v>
      </c>
      <c r="C430" s="10">
        <v>0.06</v>
      </c>
      <c r="D430" s="11" t="s">
        <v>1336</v>
      </c>
    </row>
    <row r="431" spans="1:4">
      <c r="A431" s="8">
        <v>1935</v>
      </c>
      <c r="B431" s="9" t="s">
        <v>1416</v>
      </c>
      <c r="C431" s="10">
        <v>0.06</v>
      </c>
      <c r="D431" s="11" t="s">
        <v>1336</v>
      </c>
    </row>
    <row r="432" spans="1:4">
      <c r="A432" s="8">
        <v>2687</v>
      </c>
      <c r="B432" s="9" t="s">
        <v>1417</v>
      </c>
      <c r="C432" s="10">
        <v>0.06</v>
      </c>
      <c r="D432" s="11" t="s">
        <v>1336</v>
      </c>
    </row>
    <row r="433" spans="1:4">
      <c r="A433" s="8">
        <v>2931</v>
      </c>
      <c r="B433" s="9" t="s">
        <v>1285</v>
      </c>
      <c r="C433" s="10">
        <v>0.06</v>
      </c>
      <c r="D433" s="11" t="s">
        <v>1336</v>
      </c>
    </row>
    <row r="434" spans="1:4">
      <c r="A434" s="8">
        <v>1937</v>
      </c>
      <c r="B434" s="9" t="s">
        <v>1418</v>
      </c>
      <c r="C434" s="10">
        <v>0.06</v>
      </c>
      <c r="D434" s="11" t="s">
        <v>1336</v>
      </c>
    </row>
    <row r="435" spans="1:4">
      <c r="A435" s="8">
        <v>2852</v>
      </c>
      <c r="B435" s="9" t="s">
        <v>1236</v>
      </c>
      <c r="C435" s="10">
        <v>0.06</v>
      </c>
      <c r="D435" s="11" t="s">
        <v>1336</v>
      </c>
    </row>
    <row r="436" spans="1:4">
      <c r="A436" s="8">
        <v>2853</v>
      </c>
      <c r="B436" s="9" t="s">
        <v>1237</v>
      </c>
      <c r="C436" s="10">
        <v>0.06</v>
      </c>
      <c r="D436" s="11" t="s">
        <v>1336</v>
      </c>
    </row>
    <row r="437" spans="1:4">
      <c r="A437" s="8">
        <v>2933</v>
      </c>
      <c r="B437" s="9" t="s">
        <v>1286</v>
      </c>
      <c r="C437" s="10">
        <v>0.06</v>
      </c>
      <c r="D437" s="11" t="s">
        <v>1336</v>
      </c>
    </row>
    <row r="438" spans="1:4">
      <c r="A438" s="8">
        <v>2934</v>
      </c>
      <c r="B438" s="9" t="s">
        <v>1287</v>
      </c>
      <c r="C438" s="10">
        <v>0.06</v>
      </c>
      <c r="D438" s="11" t="s">
        <v>1336</v>
      </c>
    </row>
    <row r="439" spans="1:4">
      <c r="A439" s="8">
        <v>2935</v>
      </c>
      <c r="B439" s="9" t="s">
        <v>1288</v>
      </c>
      <c r="C439" s="10">
        <v>0.06</v>
      </c>
      <c r="D439" s="11" t="s">
        <v>1336</v>
      </c>
    </row>
    <row r="440" spans="1:4">
      <c r="A440" s="8">
        <v>2936</v>
      </c>
      <c r="B440" s="9" t="s">
        <v>1289</v>
      </c>
      <c r="C440" s="10">
        <v>0.06</v>
      </c>
      <c r="D440" s="11" t="s">
        <v>1336</v>
      </c>
    </row>
    <row r="441" spans="1:4">
      <c r="A441" s="8">
        <v>2937</v>
      </c>
      <c r="B441" s="9" t="s">
        <v>1290</v>
      </c>
      <c r="C441" s="10">
        <v>0.06</v>
      </c>
      <c r="D441" s="11" t="s">
        <v>1336</v>
      </c>
    </row>
    <row r="442" spans="1:4">
      <c r="A442" s="8">
        <v>2938</v>
      </c>
      <c r="B442" s="9" t="s">
        <v>1291</v>
      </c>
      <c r="C442" s="10">
        <v>0.06</v>
      </c>
      <c r="D442" s="11" t="s">
        <v>1336</v>
      </c>
    </row>
    <row r="443" spans="1:4">
      <c r="A443" s="8">
        <v>2939</v>
      </c>
      <c r="B443" s="9" t="s">
        <v>1292</v>
      </c>
      <c r="C443" s="10">
        <v>0.06</v>
      </c>
      <c r="D443" s="11" t="s">
        <v>1336</v>
      </c>
    </row>
    <row r="444" spans="1:4">
      <c r="A444" s="8">
        <v>2940</v>
      </c>
      <c r="B444" s="9" t="s">
        <v>1293</v>
      </c>
      <c r="C444" s="10">
        <v>0.06</v>
      </c>
      <c r="D444" s="11" t="s">
        <v>1336</v>
      </c>
    </row>
    <row r="445" spans="1:4">
      <c r="A445" s="8">
        <v>2941</v>
      </c>
      <c r="B445" s="9" t="s">
        <v>1294</v>
      </c>
      <c r="C445" s="10">
        <v>0.06</v>
      </c>
      <c r="D445" s="11" t="s">
        <v>1336</v>
      </c>
    </row>
    <row r="446" spans="1:4">
      <c r="A446" s="8">
        <v>2942</v>
      </c>
      <c r="B446" s="9" t="s">
        <v>1295</v>
      </c>
      <c r="C446" s="10">
        <v>0.06</v>
      </c>
      <c r="D446" s="11" t="s">
        <v>1336</v>
      </c>
    </row>
    <row r="447" spans="1:4">
      <c r="A447" s="8">
        <v>1938</v>
      </c>
      <c r="B447" s="9" t="s">
        <v>1419</v>
      </c>
      <c r="C447" s="10">
        <v>0.06</v>
      </c>
      <c r="D447" s="11" t="s">
        <v>1336</v>
      </c>
    </row>
    <row r="448" spans="1:4">
      <c r="A448" s="8">
        <v>1650</v>
      </c>
      <c r="B448" s="9" t="s">
        <v>469</v>
      </c>
      <c r="C448" s="10">
        <v>0.06</v>
      </c>
      <c r="D448" s="11" t="s">
        <v>1336</v>
      </c>
    </row>
    <row r="449" spans="1:4">
      <c r="A449" s="8">
        <v>2861</v>
      </c>
      <c r="B449" s="9" t="s">
        <v>569</v>
      </c>
      <c r="C449" s="10">
        <v>0.06</v>
      </c>
      <c r="D449" s="11" t="s">
        <v>1336</v>
      </c>
    </row>
    <row r="450" spans="1:4">
      <c r="A450" s="8">
        <v>2862</v>
      </c>
      <c r="B450" s="9" t="s">
        <v>1239</v>
      </c>
      <c r="C450" s="10">
        <v>0.06</v>
      </c>
      <c r="D450" s="11" t="s">
        <v>1336</v>
      </c>
    </row>
    <row r="451" spans="1:4">
      <c r="A451" s="8">
        <v>1740</v>
      </c>
      <c r="B451" s="9" t="s">
        <v>1018</v>
      </c>
      <c r="C451" s="10">
        <v>0.13</v>
      </c>
      <c r="D451" s="11" t="s">
        <v>1420</v>
      </c>
    </row>
    <row r="452" spans="1:4">
      <c r="A452" s="8">
        <v>1741</v>
      </c>
      <c r="B452" s="9" t="s">
        <v>1019</v>
      </c>
      <c r="C452" s="10">
        <v>0.13</v>
      </c>
      <c r="D452" s="11" t="s">
        <v>1420</v>
      </c>
    </row>
    <row r="453" spans="1:4">
      <c r="A453" s="8">
        <v>1742</v>
      </c>
      <c r="B453" s="9" t="s">
        <v>595</v>
      </c>
      <c r="C453" s="10">
        <v>0.13</v>
      </c>
      <c r="D453" s="11" t="s">
        <v>1420</v>
      </c>
    </row>
    <row r="454" spans="1:4">
      <c r="A454" s="8">
        <v>1743</v>
      </c>
      <c r="B454" s="9" t="s">
        <v>1020</v>
      </c>
      <c r="C454" s="10">
        <v>0.13</v>
      </c>
      <c r="D454" s="11" t="s">
        <v>1420</v>
      </c>
    </row>
    <row r="455" spans="1:4">
      <c r="A455" s="8">
        <v>1744</v>
      </c>
      <c r="B455" s="9" t="s">
        <v>1021</v>
      </c>
      <c r="C455" s="10">
        <v>0.13</v>
      </c>
      <c r="D455" s="11" t="s">
        <v>1420</v>
      </c>
    </row>
    <row r="456" spans="1:4">
      <c r="A456" s="8">
        <v>1746</v>
      </c>
      <c r="B456" s="9" t="s">
        <v>1421</v>
      </c>
      <c r="C456" s="10">
        <v>0.13</v>
      </c>
      <c r="D456" s="11" t="s">
        <v>1420</v>
      </c>
    </row>
    <row r="457" spans="1:4">
      <c r="A457" s="8">
        <v>1747</v>
      </c>
      <c r="B457" s="9" t="s">
        <v>1022</v>
      </c>
      <c r="C457" s="10">
        <v>0.13</v>
      </c>
      <c r="D457" s="11" t="s">
        <v>1420</v>
      </c>
    </row>
    <row r="458" spans="1:4">
      <c r="A458" s="8">
        <v>1750</v>
      </c>
      <c r="B458" s="9" t="s">
        <v>1023</v>
      </c>
      <c r="C458" s="10">
        <v>0.09</v>
      </c>
      <c r="D458" s="11" t="s">
        <v>1420</v>
      </c>
    </row>
    <row r="459" spans="1:4">
      <c r="A459" s="8">
        <v>1751</v>
      </c>
      <c r="B459" s="9" t="s">
        <v>1024</v>
      </c>
      <c r="C459" s="10">
        <v>0.09</v>
      </c>
      <c r="D459" s="11" t="s">
        <v>1422</v>
      </c>
    </row>
    <row r="460" spans="1:4">
      <c r="A460" s="8">
        <v>1761</v>
      </c>
      <c r="B460" s="9" t="s">
        <v>1026</v>
      </c>
      <c r="C460" s="13" t="s">
        <v>1025</v>
      </c>
      <c r="D460" s="11" t="s">
        <v>1423</v>
      </c>
    </row>
    <row r="461" spans="1:4">
      <c r="A461" s="8">
        <v>1762</v>
      </c>
      <c r="B461" s="9" t="s">
        <v>1027</v>
      </c>
      <c r="C461" s="10">
        <v>0.06</v>
      </c>
      <c r="D461" s="11" t="s">
        <v>1424</v>
      </c>
    </row>
    <row r="462" spans="1:4">
      <c r="A462" s="8">
        <v>1763</v>
      </c>
      <c r="B462" s="9" t="s">
        <v>185</v>
      </c>
      <c r="C462" s="13" t="s">
        <v>184</v>
      </c>
      <c r="D462" s="11" t="s">
        <v>1313</v>
      </c>
    </row>
    <row r="463" spans="1:4">
      <c r="A463" s="8">
        <v>1764</v>
      </c>
      <c r="B463" s="9" t="s">
        <v>1028</v>
      </c>
      <c r="C463" s="10">
        <v>0.13</v>
      </c>
      <c r="D463" s="11" t="s">
        <v>1420</v>
      </c>
    </row>
    <row r="464" spans="1:4">
      <c r="A464" s="8">
        <v>1765</v>
      </c>
      <c r="B464" s="9" t="s">
        <v>1029</v>
      </c>
      <c r="C464" s="10">
        <v>0.13</v>
      </c>
      <c r="D464" s="11" t="s">
        <v>1420</v>
      </c>
    </row>
    <row r="465" spans="1:4">
      <c r="A465" s="8">
        <v>1768</v>
      </c>
      <c r="B465" s="9" t="s">
        <v>1031</v>
      </c>
      <c r="C465" s="10">
        <v>0.13</v>
      </c>
      <c r="D465" s="11" t="s">
        <v>1420</v>
      </c>
    </row>
    <row r="466" spans="1:4">
      <c r="A466" s="8">
        <v>1769</v>
      </c>
      <c r="B466" s="9" t="s">
        <v>1425</v>
      </c>
      <c r="C466" s="10">
        <v>0.13</v>
      </c>
      <c r="D466" s="11" t="s">
        <v>1420</v>
      </c>
    </row>
    <row r="467" spans="1:4">
      <c r="A467" s="8">
        <v>1770</v>
      </c>
      <c r="B467" s="9" t="s">
        <v>1032</v>
      </c>
      <c r="C467" s="10">
        <v>0.13</v>
      </c>
      <c r="D467" s="11" t="s">
        <v>1420</v>
      </c>
    </row>
    <row r="468" spans="1:4">
      <c r="A468" s="8">
        <v>1771</v>
      </c>
      <c r="B468" s="9" t="s">
        <v>1033</v>
      </c>
      <c r="C468" s="10">
        <v>0.13</v>
      </c>
      <c r="D468" s="11" t="s">
        <v>1420</v>
      </c>
    </row>
    <row r="469" spans="1:4">
      <c r="A469" s="8">
        <v>1777</v>
      </c>
      <c r="B469" s="9" t="s">
        <v>1034</v>
      </c>
      <c r="C469" s="13" t="s">
        <v>184</v>
      </c>
      <c r="D469" s="11" t="s">
        <v>1301</v>
      </c>
    </row>
    <row r="470" spans="1:4">
      <c r="A470" s="8">
        <v>1778</v>
      </c>
      <c r="B470" s="9" t="s">
        <v>1035</v>
      </c>
      <c r="C470" s="10">
        <v>0.09</v>
      </c>
      <c r="D470" s="11" t="s">
        <v>1426</v>
      </c>
    </row>
    <row r="471" spans="1:4">
      <c r="A471" s="8">
        <v>1738</v>
      </c>
      <c r="B471" s="9" t="s">
        <v>600</v>
      </c>
      <c r="C471" s="10">
        <v>0.06</v>
      </c>
      <c r="D471" s="11" t="s">
        <v>1309</v>
      </c>
    </row>
    <row r="472" spans="1:4">
      <c r="A472" s="8">
        <v>1766</v>
      </c>
      <c r="B472" s="9" t="s">
        <v>1030</v>
      </c>
      <c r="C472" s="10">
        <v>0.06</v>
      </c>
      <c r="D472" s="11" t="s">
        <v>1309</v>
      </c>
    </row>
    <row r="473" spans="1:4">
      <c r="A473" s="8">
        <v>9998</v>
      </c>
      <c r="B473" s="9" t="s">
        <v>1296</v>
      </c>
      <c r="C473" s="10">
        <v>0.06</v>
      </c>
      <c r="D473" s="11">
        <v>0</v>
      </c>
    </row>
    <row r="474" spans="1:4">
      <c r="A474" s="8">
        <v>9999</v>
      </c>
      <c r="B474" s="9" t="s">
        <v>625</v>
      </c>
      <c r="C474" s="10">
        <v>0.06</v>
      </c>
      <c r="D474" s="11">
        <v>0</v>
      </c>
    </row>
    <row r="475" spans="1:4">
      <c r="A475" s="8">
        <v>1969</v>
      </c>
      <c r="B475" s="9" t="s">
        <v>1062</v>
      </c>
      <c r="C475" s="10">
        <v>0.06</v>
      </c>
      <c r="D475" s="11" t="s">
        <v>1400</v>
      </c>
    </row>
  </sheetData>
  <autoFilter ref="A1:D475">
    <extLst/>
  </autoFilter>
  <conditionalFormatting sqref="A402">
    <cfRule type="duplicateValues" dxfId="3" priority="25"/>
  </conditionalFormatting>
  <conditionalFormatting sqref="A433">
    <cfRule type="duplicateValues" dxfId="3" priority="14"/>
    <cfRule type="duplicateValues" dxfId="3" priority="15"/>
  </conditionalFormatting>
  <conditionalFormatting sqref="A451">
    <cfRule type="duplicateValues" dxfId="3" priority="5"/>
  </conditionalFormatting>
  <conditionalFormatting sqref="A452">
    <cfRule type="duplicateValues" dxfId="3" priority="6"/>
  </conditionalFormatting>
  <conditionalFormatting sqref="A458">
    <cfRule type="duplicateValues" dxfId="3" priority="8"/>
  </conditionalFormatting>
  <conditionalFormatting sqref="A459">
    <cfRule type="duplicateValues" dxfId="3" priority="4"/>
  </conditionalFormatting>
  <conditionalFormatting sqref="A465">
    <cfRule type="duplicateValues" dxfId="3" priority="10"/>
  </conditionalFormatting>
  <conditionalFormatting sqref="B475">
    <cfRule type="duplicateValues" dxfId="3" priority="1"/>
  </conditionalFormatting>
  <conditionalFormatting sqref="A427:A429">
    <cfRule type="duplicateValues" dxfId="3" priority="16"/>
    <cfRule type="duplicateValues" dxfId="3" priority="17"/>
  </conditionalFormatting>
  <conditionalFormatting sqref="A435:A446">
    <cfRule type="duplicateValues" dxfId="3" priority="13"/>
  </conditionalFormatting>
  <conditionalFormatting sqref="A454:A455">
    <cfRule type="duplicateValues" dxfId="3" priority="7"/>
  </conditionalFormatting>
  <conditionalFormatting sqref="A463:A464">
    <cfRule type="duplicateValues" dxfId="3" priority="9"/>
  </conditionalFormatting>
  <conditionalFormatting sqref="A467:A472">
    <cfRule type="duplicateValues" dxfId="3" priority="11"/>
  </conditionalFormatting>
  <conditionalFormatting sqref="A473:A474">
    <cfRule type="duplicateValues" dxfId="3" priority="2"/>
    <cfRule type="duplicateValues" dxfId="3" priority="3"/>
  </conditionalFormatting>
  <conditionalFormatting sqref="B410:B411">
    <cfRule type="duplicateValues" dxfId="3" priority="20"/>
  </conditionalFormatting>
  <conditionalFormatting sqref="A16:A17 A2:A6 A19:A20 A25:A26 A61:A62 A355:A358 A360:A373 A91:A92 A103 A105 A107:A108 A121 A138:A139 A150 A152 A154:A155 A168:A179 A225:A226 A235:A239 A241:A242 A248:A249 A251:A252 A254:A290 A292:A326 A328:A332 A334:A335 A337 A344:A345 A375 A377 A380:A382 A409 A412:A414 A448:A450">
    <cfRule type="duplicateValues" dxfId="3" priority="33"/>
  </conditionalFormatting>
  <conditionalFormatting sqref="A2:A207 A225:A226 A228:A426 A430:A432 A434 A447:A450">
    <cfRule type="duplicateValues" dxfId="3" priority="34"/>
  </conditionalFormatting>
  <conditionalFormatting sqref="A227 A208:A224">
    <cfRule type="duplicateValues" dxfId="3" priority="32"/>
  </conditionalFormatting>
  <conditionalFormatting sqref="B403:B408 B394:B400">
    <cfRule type="duplicateValues" dxfId="3" priority="21"/>
  </conditionalFormatting>
  <conditionalFormatting sqref="B415:B426 B430:B432 B434">
    <cfRule type="duplicateValues" dxfId="3" priority="19"/>
  </conditionalFormatting>
  <conditionalFormatting sqref="A471:A472 A453 A460:A462 A466 A456:A457 A475">
    <cfRule type="duplicateValues" dxfId="3" priority="1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【2024年】前向收入合同审签表</vt:lpstr>
      <vt:lpstr>【2024年】集团产品与集团产品收入项配置表</vt:lpstr>
      <vt:lpstr>税率配置表&amp;利润中心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玉箫 张</dc:creator>
  <cp:lastModifiedBy>yeping</cp:lastModifiedBy>
  <dcterms:created xsi:type="dcterms:W3CDTF">2023-09-28T07:53:00Z</dcterms:created>
  <dcterms:modified xsi:type="dcterms:W3CDTF">2024-06-20T06:44:12Z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78EE16BF61654F3F83343A2107C0177D_13</vt:lpwstr>
  </property>
  <property fmtid="{D5CDD505-2E9C-101B-9397-08002B2CF9AE}" pid="3" name="KSOProductBuildVer">
    <vt:lpwstr>2052-11.1.0.14309</vt:lpwstr>
  </property>
</Properties>
</file>