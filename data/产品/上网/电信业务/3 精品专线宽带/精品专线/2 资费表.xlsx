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2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<sst xmlns="http://schemas.openxmlformats.org/spreadsheetml/2006/main" count="67" uniqueCount="54">
  <si>
    <t>精品专线</t>
  </si>
  <si>
    <t>一、一次性费用（元）</t>
  </si>
  <si>
    <t>用户类型</t>
  </si>
  <si>
    <t>初装费</t>
  </si>
  <si>
    <t>合计</t>
  </si>
  <si>
    <t>月付用户</t>
  </si>
  <si>
    <t>年付用户</t>
  </si>
  <si>
    <t>2年付用户</t>
  </si>
  <si>
    <t>二、业务资费</t>
  </si>
  <si>
    <t>端口速率</t>
  </si>
  <si>
    <t>月付费用：元/月</t>
  </si>
  <si>
    <t>年付费用：元/年</t>
  </si>
  <si>
    <t>2年付费用：元/2年</t>
  </si>
  <si>
    <t>IP地址</t>
  </si>
  <si>
    <t>备注</t>
  </si>
  <si>
    <t>50M/50M</t>
  </si>
  <si>
    <t>赠送5个可用IP地址</t>
  </si>
  <si>
    <t>100M/100M</t>
  </si>
  <si>
    <t>200M/200M</t>
  </si>
  <si>
    <t>赠送一次价值599元的本地代维现场服务</t>
  </si>
  <si>
    <t>300M/300M</t>
  </si>
  <si>
    <t>500M/500M</t>
  </si>
  <si>
    <t>800M/800M</t>
  </si>
  <si>
    <t>三、月付打折/年付包</t>
  </si>
  <si>
    <t>套餐速率</t>
  </si>
  <si>
    <t>标准月租费</t>
  </si>
  <si>
    <t>折扣率</t>
  </si>
  <si>
    <t>月付折后</t>
  </si>
  <si>
    <t>年付包金额（默认5个IP)</t>
  </si>
  <si>
    <t>年付包金额（13个IP地址）</t>
  </si>
  <si>
    <t xml:space="preserve">50M/50M       
</t>
  </si>
  <si>
    <t xml:space="preserve">100M/100M       
</t>
  </si>
  <si>
    <t xml:space="preserve">200M/200M       
</t>
  </si>
  <si>
    <t xml:space="preserve">300M/300M       
</t>
  </si>
  <si>
    <t xml:space="preserve">500M/500M       
</t>
  </si>
  <si>
    <t>500M没有年付包</t>
  </si>
  <si>
    <t xml:space="preserve">800M/800M       
</t>
  </si>
  <si>
    <t>四、升级IP地址费用</t>
  </si>
  <si>
    <t>升级13个IPv4</t>
  </si>
  <si>
    <t>升级5个国际精品IP地址</t>
  </si>
  <si>
    <t>升级13个国际精品IP地址</t>
  </si>
  <si>
    <t>说明：选择该选项必选“通信服务”中“升级到13个固定公网IPv4地址，费用增加300元/月，如主套餐是选用年付费的，费用增加2400元/年,主套餐选用2年付的，费用增加4800元/2年</t>
  </si>
  <si>
    <t>备注：IPv6的地址可用数量为2的64次方个</t>
  </si>
  <si>
    <t>五、加装包</t>
  </si>
  <si>
    <t>可选包</t>
  </si>
  <si>
    <t>资费</t>
  </si>
  <si>
    <t>天翼安全大脑</t>
  </si>
  <si>
    <t>1，天翼安全大脑（专线版300M），600元/月/线，下行速率300M及以下带宽适用</t>
  </si>
  <si>
    <t>2，天翼安全大脑（专线版500M），1200元/月/线，下行速率500M及以下带宽适用</t>
  </si>
  <si>
    <t>3，天翼安全大脑-安全专家增值服务，300元/月/线</t>
  </si>
  <si>
    <t>移动业务</t>
  </si>
  <si>
    <t>1元/月/号，移动业务原套餐月基本费之和应小于等于“精品专线业务的签约消费金额”（元/月）</t>
  </si>
  <si>
    <t>商云通</t>
  </si>
  <si>
    <t>0元包，仅限一线，国内通话2500分钟/月/线，国内通话超出后资费0.1元/分钟/线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</si>
</sst>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Times New Roman"/>
      <charset val="134"/>
    </font>
    <font>
      <sz val="11"/>
      <color rgb="FFFF0000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462874233222"/>
        <bgColor indexed="64"/>
      </patternFill>
    </fill>
    <fill>
      <patternFill patternType="solid">
        <fgColor theme="8" tint="0.7995849482711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4" borderId="5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6">
      <alignment vertical="center"/>
    </xf>
    <xf numFmtId="0" fontId="16" fillId="0" borderId="6">
      <alignment vertical="center"/>
    </xf>
    <xf numFmtId="0" fontId="17" fillId="0" borderId="7">
      <alignment vertical="center"/>
    </xf>
    <xf numFmtId="0" fontId="17" fillId="0" borderId="0">
      <alignment vertical="center"/>
    </xf>
    <xf numFmtId="0" fontId="18" fillId="5" borderId="8">
      <alignment vertical="center"/>
    </xf>
    <xf numFmtId="0" fontId="19" fillId="6" borderId="9">
      <alignment vertical="center"/>
    </xf>
    <xf numFmtId="0" fontId="20" fillId="6" borderId="8">
      <alignment vertical="center"/>
    </xf>
    <xf numFmtId="0" fontId="21" fillId="7" borderId="10">
      <alignment vertical="center"/>
    </xf>
    <xf numFmtId="0" fontId="22" fillId="0" borderId="11">
      <alignment vertical="center"/>
    </xf>
    <xf numFmtId="0" fontId="23" fillId="0" borderId="12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8" fillId="12" borderId="0">
      <alignment vertical="center"/>
    </xf>
    <xf numFmtId="0" fontId="28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7" fillId="34" borderId="0">
      <alignment vertical="center"/>
    </xf>
  </cellStyleXfs>
  <cellXfs count="39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4" fillId="0" borderId="0" xfId="0" applyFont="1" applyFill="1" applyAlignme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3" fillId="0" borderId="0" xfId="0" applyFont="1" applyFill="1" applyAlignment="1">
      <alignment vertical="center"/>
    </xf>
    <xf numFmtId="0" fontId="0" fillId="0" borderId="1" xfId="0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2" fillId="2" borderId="1" xfId="6" applyFont="1" applyFill="1" applyBorder="1" applyAlignment="1" applyProtection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justify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tabSelected="1" topLeftCell="A36" workbookViewId="0">
      <selection activeCell="D46" sqref="D46"/>
    </sheetView>
  </sheetViews>
  <sheetFormatPr defaultColWidth="9" defaultRowHeight="25" customHeight="1" outlineLevelCol="5"/>
  <cols>
    <col min="1" max="1" width="23.625" customWidth="1"/>
    <col min="2" max="2" width="44.625" customWidth="1"/>
    <col min="3" max="3" width="17.25" customWidth="1"/>
    <col min="4" max="4" width="19.75" customWidth="1"/>
    <col min="5" max="5" width="25.375" customWidth="1"/>
    <col min="6" max="6" width="37.125" customWidth="1"/>
  </cols>
  <sheetData>
    <row r="1" customHeight="1" spans="1:6">
      <c r="A1" s="1" t="s">
        <v>0</v>
      </c>
      <c r="B1" s="1"/>
      <c r="C1" s="1"/>
      <c r="D1" s="1"/>
      <c r="E1" s="1"/>
      <c r="F1" s="1"/>
    </row>
    <row r="2" customHeight="1" spans="1:6">
      <c r="A2" s="2" t="s">
        <v>1</v>
      </c>
      <c r="B2" s="2"/>
      <c r="C2" s="2"/>
      <c r="D2" s="3"/>
      <c r="E2" s="3"/>
      <c r="F2" s="4"/>
    </row>
    <row r="3" customHeight="1" spans="1:6">
      <c r="A3" s="5" t="s">
        <v>2</v>
      </c>
      <c r="B3" s="5" t="s">
        <v>3</v>
      </c>
      <c r="C3" s="6" t="s">
        <v>4</v>
      </c>
      <c r="D3" s="4"/>
      <c r="E3" s="4"/>
      <c r="F3" s="4"/>
    </row>
    <row r="4" customHeight="1" spans="1:6">
      <c r="A4" s="7" t="s">
        <v>5</v>
      </c>
      <c r="B4" s="7">
        <v>1300</v>
      </c>
      <c r="C4" s="8">
        <v>1300</v>
      </c>
      <c r="D4" s="4"/>
      <c r="E4" s="4"/>
      <c r="F4" s="4"/>
    </row>
    <row r="5" customHeight="1" spans="1:6">
      <c r="A5" s="7" t="s">
        <v>6</v>
      </c>
      <c r="B5" s="7">
        <v>650</v>
      </c>
      <c r="C5" s="8">
        <v>650</v>
      </c>
      <c r="D5" s="4"/>
      <c r="E5" s="4"/>
      <c r="F5" s="4"/>
    </row>
    <row r="6" customHeight="1" spans="1:6">
      <c r="A6" s="7" t="s">
        <v>7</v>
      </c>
      <c r="B6" s="7">
        <v>0</v>
      </c>
      <c r="C6" s="8">
        <v>0</v>
      </c>
      <c r="D6" s="4"/>
      <c r="E6" s="4"/>
      <c r="F6" s="4"/>
    </row>
    <row r="7" customHeight="1" spans="1:6">
      <c r="A7" s="4"/>
      <c r="B7" s="4"/>
      <c r="C7" s="4"/>
      <c r="D7" s="4"/>
      <c r="E7" s="4"/>
      <c r="F7" s="4"/>
    </row>
    <row r="8" customHeight="1" spans="1:6">
      <c r="A8" s="9" t="s">
        <v>8</v>
      </c>
      <c r="B8" s="9"/>
      <c r="C8" s="9"/>
      <c r="D8" s="3"/>
      <c r="E8" s="10"/>
      <c r="F8" s="4"/>
    </row>
    <row r="9" customHeight="1" spans="1:6">
      <c r="A9" s="5" t="s">
        <v>9</v>
      </c>
      <c r="B9" s="11" t="s">
        <v>10</v>
      </c>
      <c r="C9" s="11" t="s">
        <v>11</v>
      </c>
      <c r="D9" s="11" t="s">
        <v>12</v>
      </c>
      <c r="E9" s="11" t="s">
        <v>13</v>
      </c>
      <c r="F9" s="12" t="s">
        <v>14</v>
      </c>
    </row>
    <row r="10" customHeight="1" spans="1:6">
      <c r="A10" s="7" t="s">
        <v>15</v>
      </c>
      <c r="B10" s="7">
        <v>2388</v>
      </c>
      <c r="C10" s="7">
        <v>23880</v>
      </c>
      <c r="D10" s="7"/>
      <c r="E10" s="7" t="s">
        <v>16</v>
      </c>
      <c r="F10" s="13"/>
    </row>
    <row r="11" customHeight="1" spans="1:6">
      <c r="A11" s="7" t="s">
        <v>17</v>
      </c>
      <c r="B11" s="7">
        <v>3388</v>
      </c>
      <c r="C11" s="7">
        <v>28880</v>
      </c>
      <c r="D11" s="7">
        <v>48000</v>
      </c>
      <c r="E11" s="7" t="s">
        <v>16</v>
      </c>
      <c r="F11" s="13"/>
    </row>
    <row r="12" customHeight="1" spans="1:6">
      <c r="A12" s="7" t="s">
        <v>18</v>
      </c>
      <c r="B12" s="7">
        <v>4888</v>
      </c>
      <c r="C12" s="7">
        <v>48880</v>
      </c>
      <c r="D12" s="7"/>
      <c r="E12" s="7" t="s">
        <v>16</v>
      </c>
      <c r="F12" s="13" t="s">
        <v>19</v>
      </c>
    </row>
    <row r="13" customHeight="1" spans="1:6">
      <c r="A13" s="7" t="s">
        <v>20</v>
      </c>
      <c r="B13" s="7">
        <v>7888</v>
      </c>
      <c r="C13" s="7">
        <v>78880</v>
      </c>
      <c r="D13" s="7"/>
      <c r="E13" s="7" t="s">
        <v>16</v>
      </c>
      <c r="F13" s="13" t="s">
        <v>19</v>
      </c>
    </row>
    <row r="14" customHeight="1" spans="1:6">
      <c r="A14" s="7" t="s">
        <v>21</v>
      </c>
      <c r="B14" s="7">
        <v>12888</v>
      </c>
      <c r="C14" s="7">
        <v>128880</v>
      </c>
      <c r="D14" s="7"/>
      <c r="E14" s="7" t="s">
        <v>16</v>
      </c>
      <c r="F14" s="13" t="s">
        <v>19</v>
      </c>
    </row>
    <row r="15" customHeight="1" spans="1:6">
      <c r="A15" s="7" t="s">
        <v>22</v>
      </c>
      <c r="B15" s="7">
        <v>21888</v>
      </c>
      <c r="C15" s="7">
        <v>218880</v>
      </c>
      <c r="D15" s="7"/>
      <c r="E15" s="7" t="s">
        <v>16</v>
      </c>
      <c r="F15" s="13" t="s">
        <v>19</v>
      </c>
    </row>
    <row r="16" customHeight="1" spans="1:6">
      <c r="A16" s="14"/>
      <c r="B16" s="15"/>
      <c r="C16" s="15"/>
      <c r="D16" s="15"/>
      <c r="E16" s="16"/>
      <c r="F16" s="4"/>
    </row>
    <row r="17" customHeight="1" spans="1:6">
      <c r="A17" s="17" t="s">
        <v>23</v>
      </c>
      <c r="B17" s="4"/>
      <c r="C17" s="4"/>
      <c r="D17" s="4"/>
      <c r="E17" s="4"/>
      <c r="F17" s="4"/>
    </row>
    <row r="18" customHeight="1" spans="1:6">
      <c r="A18" s="5" t="s">
        <v>24</v>
      </c>
      <c r="B18" s="5" t="s">
        <v>25</v>
      </c>
      <c r="C18" s="5" t="s">
        <v>26</v>
      </c>
      <c r="D18" s="5" t="s">
        <v>27</v>
      </c>
      <c r="E18" s="5" t="s">
        <v>28</v>
      </c>
      <c r="F18" s="5" t="s">
        <v>29</v>
      </c>
    </row>
    <row r="19" customHeight="1" spans="1:6">
      <c r="A19" s="18" t="s">
        <v>30</v>
      </c>
      <c r="B19" s="18">
        <v>2388</v>
      </c>
      <c r="C19" s="8">
        <v>0.8</v>
      </c>
      <c r="D19" s="8">
        <f>2388*0.8</f>
        <v>1910.4</v>
      </c>
      <c r="E19" s="8">
        <v>22925</v>
      </c>
      <c r="F19" s="8">
        <v>25325</v>
      </c>
    </row>
    <row r="20" customHeight="1" spans="1:6">
      <c r="A20" s="18"/>
      <c r="B20" s="18">
        <v>2388</v>
      </c>
      <c r="C20" s="8">
        <v>0.7</v>
      </c>
      <c r="D20" s="8">
        <f>2388*0.7</f>
        <v>1671.6</v>
      </c>
      <c r="E20" s="8">
        <v>20060</v>
      </c>
      <c r="F20" s="8">
        <v>22460</v>
      </c>
    </row>
    <row r="21" customHeight="1" spans="1:6">
      <c r="A21" s="18"/>
      <c r="B21" s="19">
        <v>2388</v>
      </c>
      <c r="C21" s="20">
        <v>0.6</v>
      </c>
      <c r="D21" s="20">
        <f>2388*0.6</f>
        <v>1432.8</v>
      </c>
      <c r="E21" s="20">
        <v>17200</v>
      </c>
      <c r="F21" s="20">
        <v>19600</v>
      </c>
    </row>
    <row r="22" customHeight="1" spans="1:6">
      <c r="A22" s="18" t="s">
        <v>31</v>
      </c>
      <c r="B22" s="18">
        <v>3388</v>
      </c>
      <c r="C22" s="8">
        <v>0.8</v>
      </c>
      <c r="D22" s="8">
        <f>3388*0.8</f>
        <v>2710.4</v>
      </c>
      <c r="E22" s="8">
        <v>32525</v>
      </c>
      <c r="F22" s="8">
        <v>34925</v>
      </c>
    </row>
    <row r="23" customHeight="1" spans="1:6">
      <c r="A23" s="18"/>
      <c r="B23" s="18">
        <v>3388</v>
      </c>
      <c r="C23" s="8">
        <v>0.7</v>
      </c>
      <c r="D23" s="8">
        <f>3388*0.7</f>
        <v>2371.6</v>
      </c>
      <c r="E23" s="8">
        <v>28460</v>
      </c>
      <c r="F23" s="8">
        <v>30860</v>
      </c>
    </row>
    <row r="24" customHeight="1" spans="1:6">
      <c r="A24" s="18"/>
      <c r="B24" s="19">
        <v>3388</v>
      </c>
      <c r="C24" s="20">
        <v>0.6</v>
      </c>
      <c r="D24" s="20">
        <f>3388*0.6</f>
        <v>2032.8</v>
      </c>
      <c r="E24" s="20">
        <v>24400</v>
      </c>
      <c r="F24" s="20">
        <v>26800</v>
      </c>
    </row>
    <row r="25" customHeight="1" spans="1:6">
      <c r="A25" s="18" t="s">
        <v>32</v>
      </c>
      <c r="B25" s="18">
        <v>4888</v>
      </c>
      <c r="C25" s="8">
        <v>0.8</v>
      </c>
      <c r="D25" s="8">
        <f>4888*0.8</f>
        <v>3910.4</v>
      </c>
      <c r="E25" s="8">
        <v>46925</v>
      </c>
      <c r="F25" s="8">
        <v>49325</v>
      </c>
    </row>
    <row r="26" customHeight="1" spans="1:6">
      <c r="A26" s="18" t="s">
        <v>33</v>
      </c>
      <c r="B26" s="18">
        <v>7888</v>
      </c>
      <c r="C26" s="8">
        <v>0.8</v>
      </c>
      <c r="D26" s="8">
        <f>7888*0.8</f>
        <v>6310.4</v>
      </c>
      <c r="E26" s="8">
        <v>75725</v>
      </c>
      <c r="F26" s="8">
        <v>78125</v>
      </c>
    </row>
    <row r="27" customHeight="1" spans="1:6">
      <c r="A27" s="18" t="s">
        <v>34</v>
      </c>
      <c r="B27" s="18">
        <v>12888</v>
      </c>
      <c r="C27" s="8">
        <v>0.8</v>
      </c>
      <c r="D27" s="8">
        <f>12888*0.8</f>
        <v>10310.4</v>
      </c>
      <c r="E27" s="8" t="s">
        <v>35</v>
      </c>
      <c r="F27" s="8" t="s">
        <v>35</v>
      </c>
    </row>
    <row r="28" customHeight="1" spans="1:6">
      <c r="A28" s="18" t="s">
        <v>36</v>
      </c>
      <c r="B28" s="8">
        <v>21888</v>
      </c>
      <c r="C28" s="8">
        <v>0.8</v>
      </c>
      <c r="D28" s="8">
        <f>B28*C28</f>
        <v>17510.4</v>
      </c>
      <c r="E28" s="13"/>
      <c r="F28" s="13"/>
    </row>
    <row r="29" customHeight="1" spans="1:6">
      <c r="A29" s="21"/>
      <c r="B29" s="22"/>
      <c r="C29" s="22"/>
      <c r="D29" s="22"/>
      <c r="E29" s="4"/>
      <c r="F29" s="4"/>
    </row>
    <row r="30" customHeight="1" spans="1:6">
      <c r="A30" s="23" t="s">
        <v>37</v>
      </c>
      <c r="B30" s="23"/>
      <c r="C30" s="23"/>
      <c r="D30" s="4"/>
      <c r="E30" s="4"/>
      <c r="F30" s="4"/>
    </row>
    <row r="31" customHeight="1" spans="1:6">
      <c r="A31" s="5" t="s">
        <v>13</v>
      </c>
      <c r="B31" s="6" t="s">
        <v>10</v>
      </c>
      <c r="C31" s="6" t="s">
        <v>11</v>
      </c>
      <c r="D31" s="6" t="s">
        <v>12</v>
      </c>
      <c r="E31" s="4"/>
      <c r="F31" s="4"/>
    </row>
    <row r="32" customHeight="1" spans="1:6">
      <c r="A32" s="24" t="s">
        <v>38</v>
      </c>
      <c r="B32" s="25">
        <v>300</v>
      </c>
      <c r="C32" s="25">
        <v>2400</v>
      </c>
      <c r="D32" s="25">
        <v>4800</v>
      </c>
      <c r="E32" s="4"/>
      <c r="F32" s="4"/>
    </row>
    <row r="33" customHeight="1" spans="1:6">
      <c r="A33" s="24" t="s">
        <v>39</v>
      </c>
      <c r="B33" s="25">
        <v>1200</v>
      </c>
      <c r="C33" s="25"/>
      <c r="D33" s="26"/>
      <c r="E33" s="4"/>
      <c r="F33" s="4"/>
    </row>
    <row r="34" ht="56" customHeight="1" spans="1:6">
      <c r="A34" s="24" t="s">
        <v>40</v>
      </c>
      <c r="B34" s="25">
        <v>2000</v>
      </c>
      <c r="C34" s="27" t="s">
        <v>41</v>
      </c>
      <c r="D34" s="28"/>
      <c r="E34" s="4"/>
      <c r="F34" s="4"/>
    </row>
    <row r="35" customHeight="1" spans="1:6">
      <c r="A35" s="29" t="s">
        <v>42</v>
      </c>
      <c r="B35" s="30"/>
      <c r="C35" s="30"/>
      <c r="D35" s="26"/>
      <c r="E35" s="4"/>
      <c r="F35" s="4"/>
    </row>
    <row r="37" customHeight="1" spans="1:6">
      <c r="A37" t="s">
        <v>43</v>
      </c>
    </row>
    <row r="38" customHeight="1" spans="1:6">
      <c r="A38" s="31" t="s">
        <v>44</v>
      </c>
      <c r="B38" s="6" t="s">
        <v>45</v>
      </c>
    </row>
    <row r="39" ht="36" customHeight="1" spans="1:6">
      <c r="A39" s="32" t="s">
        <v>46</v>
      </c>
      <c r="B39" s="33" t="s">
        <v>47</v>
      </c>
    </row>
    <row r="40" ht="37" customHeight="1" spans="1:6">
      <c r="A40" s="34"/>
      <c r="B40" s="33" t="s">
        <v>48</v>
      </c>
    </row>
    <row r="41" ht="26" customHeight="1" spans="1:6">
      <c r="A41" s="34"/>
      <c r="B41" s="35" t="s">
        <v>49</v>
      </c>
    </row>
    <row r="42" ht="40" customHeight="1" spans="1:6">
      <c r="A42" s="36" t="s">
        <v>50</v>
      </c>
      <c r="B42" s="37" t="s">
        <v>51</v>
      </c>
    </row>
    <row r="43" ht="39" customHeight="1" spans="1:6">
      <c r="A43" s="38" t="s">
        <v>52</v>
      </c>
      <c r="B43" s="37" t="s">
        <v>53</v>
      </c>
    </row>
  </sheetData>
  <mergeCells count="9">
    <mergeCell ref="A1:F1"/>
    <mergeCell ref="A2:C2"/>
    <mergeCell ref="A8:C8"/>
    <mergeCell ref="A30:C30"/>
    <mergeCell ref="C34:D34"/>
    <mergeCell ref="A35:C35"/>
    <mergeCell ref="A19:A21"/>
    <mergeCell ref="A22:A24"/>
    <mergeCell ref="A39:A4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张洁</cp:lastModifiedBy>
  <dcterms:created xsi:type="dcterms:W3CDTF">2023-05-12T11:15:00Z</dcterms:created>
  <dcterms:modified xsi:type="dcterms:W3CDTF">2026-06-12T07:32:56Z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EC9EB2334F2C42CE879A890145E90B57_12</vt:lpwstr>
  </property>
  <property fmtid="{D5CDD505-2E9C-101B-9397-08002B2CF9AE}" pid="4" name="CalculationRule">
    <vt:i4>0</vt:i4>
  </property>
</Properties>
</file>