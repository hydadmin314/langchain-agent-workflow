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<sst xmlns="http://schemas.openxmlformats.org/spreadsheetml/2006/main" count="12" uniqueCount="12">
  <si>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光网宽带资费</t>
  </si>
  <si>
    <t>一、一次性费用（元）</t>
  </si>
  <si>
    <t>原价：500到1000元，可申请减免</t>
  </si>
  <si>
    <t>二、商务版/园区版</t>
  </si>
  <si>
    <t>端口速率</t>
  </si>
  <si>
    <t>指导价：元/年</t>
  </si>
  <si>
    <t>承诺在网1年可优惠：元/年</t>
  </si>
  <si>
    <t>承诺在网2年可优惠：元/年</t>
  </si>
  <si>
    <t>50M/50M</t>
  </si>
  <si>
    <t>100M/100M</t>
  </si>
  <si>
    <t>200M/200M</t>
  </si>
  <si>
    <t>200M/1000M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</si>
</sst>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0" fillId="0" borderId="0"/>
  </cellStyleXfs>
  <cellXfs count="20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1" fillId="0" borderId="0" xfId="49" applyFont="1" applyAlignment="1">
      <alignment vertical="center" wrapText="1"/>
    </xf>
    <xf numFmtId="0" fontId="2" fillId="0" borderId="0" xfId="49" applyFont="1" applyAlignment="1">
      <alignment horizontal="left" vertical="center"/>
    </xf>
    <xf numFmtId="0" fontId="0" fillId="0" borderId="0" xfId="49" applyAlignment="1">
      <alignment vertical="center"/>
    </xf>
    <xf numFmtId="0" fontId="3" fillId="0" borderId="0" xfId="49" applyFont="1" applyAlignment="1">
      <alignment horizontal="left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left" vertical="center"/>
    </xf>
    <xf numFmtId="0" fontId="3" fillId="3" borderId="1" xfId="49" applyFont="1" applyFill="1" applyBorder="1" applyAlignment="1">
      <alignment vertical="center"/>
    </xf>
    <xf numFmtId="0" fontId="4" fillId="0" borderId="1" xfId="49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 wrapText="1"/>
    </xf>
    <xf numFmtId="0" fontId="0" fillId="0" borderId="1" xfId="49" applyFont="1" applyBorder="1" applyAlignment="1">
      <alignment horizontal="center" vertical="center"/>
    </xf>
    <xf numFmtId="0" fontId="0" fillId="0" borderId="1" xfId="4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0" fillId="0" borderId="0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D15" sqref="D15"/>
    </sheetView>
  </sheetViews>
  <sheetFormatPr defaultColWidth="9" defaultRowHeight="24.9" customHeight="1" outlineLevelCol="4"/>
  <cols>
    <col min="1" max="1" width="19.75" style="1" customWidth="1"/>
    <col min="2" max="2" width="21.625" style="1" customWidth="1"/>
    <col min="3" max="3" width="28.5" style="1" customWidth="1"/>
    <col min="4" max="4" width="27.625" style="1" customWidth="1"/>
    <col min="5" max="5" width="17" style="1" customWidth="1"/>
    <col min="6" max="16384" width="9" style="1"/>
  </cols>
  <sheetData>
    <row r="1" s="1" customFormat="1" customHeight="1" spans="1:5">
      <c r="A1" s="2" t="s">
        <v>0</v>
      </c>
      <c r="B1" s="2"/>
      <c r="C1" s="2"/>
      <c r="D1" s="3"/>
      <c r="E1" s="3"/>
    </row>
    <row r="2" s="1" customFormat="1" customHeight="1" spans="1:5">
      <c r="A2" s="4" t="s">
        <v>1</v>
      </c>
      <c r="B2" s="4"/>
      <c r="C2" s="4"/>
      <c r="D2" s="4"/>
      <c r="E2" s="4"/>
    </row>
    <row r="3" s="1" customFormat="1" customHeight="1" spans="1:5">
      <c r="A3" s="4" t="s">
        <v>2</v>
      </c>
      <c r="B3" s="4"/>
      <c r="C3" s="4"/>
      <c r="D3" s="4"/>
      <c r="E3" s="4"/>
    </row>
    <row r="4" s="1" customFormat="1" customHeight="1" spans="1:5">
      <c r="A4" s="5"/>
      <c r="B4" s="5"/>
      <c r="C4" s="5"/>
      <c r="D4" s="5"/>
      <c r="E4" s="5"/>
    </row>
    <row r="5" s="1" customFormat="1" customHeight="1" spans="1:5">
      <c r="A5" s="6" t="s">
        <v>3</v>
      </c>
      <c r="B5" s="6"/>
      <c r="C5" s="6"/>
      <c r="D5" s="6"/>
      <c r="E5" s="6"/>
    </row>
    <row r="6" s="1" customFormat="1" customHeight="1" spans="1:5">
      <c r="A6" s="7" t="s">
        <v>4</v>
      </c>
      <c r="B6" s="8" t="s">
        <v>5</v>
      </c>
      <c r="C6" s="9" t="s">
        <v>6</v>
      </c>
      <c r="D6" s="10" t="s">
        <v>7</v>
      </c>
      <c r="E6" s="5"/>
    </row>
    <row r="7" s="1" customFormat="1" customHeight="1" spans="1:5">
      <c r="A7" s="11" t="s">
        <v>8</v>
      </c>
      <c r="B7" s="12">
        <v>1980</v>
      </c>
      <c r="C7" s="13">
        <f>128*12</f>
        <v>1536</v>
      </c>
      <c r="D7" s="14">
        <f>120*12</f>
        <v>1440</v>
      </c>
      <c r="E7" s="5"/>
    </row>
    <row r="8" s="1" customFormat="1" customHeight="1" spans="1:5">
      <c r="A8" s="15" t="s">
        <v>9</v>
      </c>
      <c r="B8" s="15">
        <v>2980</v>
      </c>
      <c r="C8" s="16">
        <f>168*12</f>
        <v>2016</v>
      </c>
      <c r="D8" s="16">
        <f>220*12</f>
        <v>2640</v>
      </c>
    </row>
    <row r="9" s="1" customFormat="1" customHeight="1" spans="1:5">
      <c r="A9" s="17" t="s">
        <v>10</v>
      </c>
      <c r="B9" s="18">
        <v>3980</v>
      </c>
      <c r="C9" s="16">
        <f>228*12</f>
        <v>2736</v>
      </c>
      <c r="D9" s="16">
        <f>220*12</f>
        <v>2640</v>
      </c>
    </row>
    <row r="10" s="1" customFormat="1" customHeight="1" spans="1:5">
      <c r="A10" s="17" t="s">
        <v>11</v>
      </c>
      <c r="B10" s="18">
        <v>8980</v>
      </c>
      <c r="C10" s="16">
        <f>573*12</f>
        <v>6876</v>
      </c>
      <c r="D10" s="16">
        <f>490*12</f>
        <v>5880</v>
      </c>
    </row>
    <row r="12" s="1" customFormat="1" customHeight="1" spans="1:5">
      <c r="A12" s="19"/>
    </row>
  </sheetData>
  <mergeCells count="3">
    <mergeCell ref="A1:C1"/>
    <mergeCell ref="A2:E2"/>
    <mergeCell ref="A5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2026-06-18T09:28:12Z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CDA4782774244221A508B2E70A60CD62_12</vt:lpwstr>
  </property>
  <property fmtid="{D5CDD505-2E9C-101B-9397-08002B2CF9AE}" pid="4" name="CalculationRule">
    <vt:i4>0</vt:i4>
  </property>
</Properties>
</file>