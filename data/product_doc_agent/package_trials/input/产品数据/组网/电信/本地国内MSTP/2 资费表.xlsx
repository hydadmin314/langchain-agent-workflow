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<sst xmlns="http://schemas.openxmlformats.org/spreadsheetml/2006/main" count="110" uniqueCount="64">
  <si>
    <t>MSTP专线</t>
  </si>
  <si>
    <t>一、一次性费用（元）（新装、升降速）</t>
  </si>
  <si>
    <t>1、本地MSTP</t>
  </si>
  <si>
    <t>资源情况</t>
  </si>
  <si>
    <t>优惠后一次性费用合计</t>
  </si>
  <si>
    <t>有资源</t>
  </si>
  <si>
    <t>无资源</t>
  </si>
  <si>
    <t>2、国内MSTP</t>
  </si>
  <si>
    <t>上海端</t>
  </si>
  <si>
    <t>外地端</t>
  </si>
  <si>
    <t>备注</t>
  </si>
  <si>
    <t>可减免,0元</t>
  </si>
  <si>
    <t>最终以询价为准</t>
  </si>
  <si>
    <t>勘查后，外地报价</t>
  </si>
  <si>
    <t>二、业务月租费</t>
  </si>
  <si>
    <t>速率</t>
  </si>
  <si>
    <t>标准资费
（元/月）</t>
  </si>
  <si>
    <t>授权5折
（元/月）</t>
  </si>
  <si>
    <t xml:space="preserve">1M </t>
  </si>
  <si>
    <t xml:space="preserve">2M </t>
  </si>
  <si>
    <t xml:space="preserve">4M </t>
  </si>
  <si>
    <t xml:space="preserve">6M </t>
  </si>
  <si>
    <t xml:space="preserve">8M </t>
  </si>
  <si>
    <t xml:space="preserve">10M </t>
  </si>
  <si>
    <t xml:space="preserve">15M </t>
  </si>
  <si>
    <t xml:space="preserve">20M </t>
  </si>
  <si>
    <t xml:space="preserve">25M </t>
  </si>
  <si>
    <t xml:space="preserve">30M </t>
  </si>
  <si>
    <t xml:space="preserve">34M </t>
  </si>
  <si>
    <t xml:space="preserve">40M </t>
  </si>
  <si>
    <t xml:space="preserve">50M </t>
  </si>
  <si>
    <t xml:space="preserve">60M </t>
  </si>
  <si>
    <t xml:space="preserve">70M </t>
  </si>
  <si>
    <t xml:space="preserve">80M </t>
  </si>
  <si>
    <t xml:space="preserve">90M </t>
  </si>
  <si>
    <t xml:space="preserve">100M </t>
  </si>
  <si>
    <t xml:space="preserve">150M </t>
  </si>
  <si>
    <t xml:space="preserve">155M </t>
  </si>
  <si>
    <t xml:space="preserve">200M </t>
  </si>
  <si>
    <t xml:space="preserve">250M </t>
  </si>
  <si>
    <t xml:space="preserve">300M </t>
  </si>
  <si>
    <t xml:space="preserve">350M </t>
  </si>
  <si>
    <t xml:space="preserve">400M </t>
  </si>
  <si>
    <t xml:space="preserve">450M </t>
  </si>
  <si>
    <t xml:space="preserve">500M </t>
  </si>
  <si>
    <t xml:space="preserve">550M </t>
  </si>
  <si>
    <t xml:space="preserve">600M </t>
  </si>
  <si>
    <t xml:space="preserve">622M </t>
  </si>
  <si>
    <t xml:space="preserve">650M </t>
  </si>
  <si>
    <t xml:space="preserve">700M </t>
  </si>
  <si>
    <t xml:space="preserve">750M </t>
  </si>
  <si>
    <t xml:space="preserve">800M </t>
  </si>
  <si>
    <t xml:space="preserve">850M </t>
  </si>
  <si>
    <t xml:space="preserve">900M </t>
  </si>
  <si>
    <t xml:space="preserve">950M </t>
  </si>
  <si>
    <t xml:space="preserve">1G </t>
  </si>
  <si>
    <t>2G</t>
  </si>
  <si>
    <t xml:space="preserve">2.5G </t>
  </si>
  <si>
    <t>标准资费（元/月）</t>
  </si>
  <si>
    <t>授权5折（元/月）</t>
  </si>
  <si>
    <t>本地端口费</t>
  </si>
  <si>
    <t>国内端口费</t>
  </si>
  <si>
    <t>国内月租费</t>
  </si>
  <si>
    <t>标准资费合计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</si>
</sst>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b/>
      <sz val="11"/>
      <name val="宋体"/>
      <charset val="134"/>
    </font>
    <font>
      <sz val="11"/>
      <name val="宋体"/>
      <charset val="134"/>
    </font>
    <font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indexed="8"/>
      <name val="宋体"/>
      <charset val="134"/>
    </font>
    <font>
      <b/>
      <sz val="11"/>
      <color rgb="FFFF0000"/>
      <name val="宋体"/>
      <charset val="134"/>
      <scheme val="minor"/>
    </font>
    <font>
      <sz val="12"/>
      <color indexed="8"/>
      <name val="Times New Roman"/>
      <charset val="134"/>
    </font>
    <font>
      <sz val="12"/>
      <color indexed="8"/>
      <name val="宋体"/>
      <charset val="134"/>
    </font>
    <font>
      <b/>
      <sz val="12"/>
      <color indexed="8"/>
      <name val="Times New Roman"/>
      <charset val="134"/>
    </font>
    <font>
      <b/>
      <sz val="11"/>
      <color indexed="8"/>
      <name val="宋体"/>
      <charset val="134"/>
      <scheme val="minor"/>
    </font>
    <font>
      <b/>
      <sz val="11"/>
      <color indexed="8"/>
      <name val="宋体"/>
      <charset val="134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7994628742332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3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" borderId="11" applyNumberFormat="0" applyAlignment="0" applyProtection="0">
      <alignment vertical="center"/>
    </xf>
    <xf numFmtId="0" fontId="23" fillId="5" borderId="12" applyNumberFormat="0" applyAlignment="0" applyProtection="0">
      <alignment vertical="center"/>
    </xf>
    <xf numFmtId="0" fontId="24" fillId="5" borderId="11" applyNumberFormat="0" applyAlignment="0" applyProtection="0">
      <alignment vertical="center"/>
    </xf>
    <xf numFmtId="0" fontId="25" fillId="6" borderId="13" applyNumberFormat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3" fillId="0" borderId="0" xfId="0" applyFont="1" applyFill="1" applyAlignment="1"/>
    <xf numFmtId="0" fontId="5" fillId="0" borderId="2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0" fontId="11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7"/>
  <sheetViews>
    <sheetView tabSelected="1" topLeftCell="A54" workbookViewId="0">
      <selection activeCell="E15" sqref="E15"/>
    </sheetView>
  </sheetViews>
  <sheetFormatPr defaultColWidth="9" defaultRowHeight="13.5" outlineLevelCol="7"/>
  <cols>
    <col min="1" max="1" width="20.1083333333333" style="1" customWidth="1"/>
    <col min="2" max="2" width="20.8916666666667" style="1" customWidth="1"/>
    <col min="3" max="3" width="23.8916666666667" style="1" customWidth="1"/>
    <col min="4" max="4" width="20.4416666666667" style="1" customWidth="1"/>
    <col min="5" max="5" width="17.225" style="1" customWidth="1"/>
    <col min="6" max="6" width="21.8916666666667" style="1" customWidth="1"/>
    <col min="7" max="7" width="15.4416666666667" style="1" customWidth="1"/>
    <col min="8" max="8" width="14.8916666666667" style="1" customWidth="1"/>
    <col min="9" max="9" width="17.225" style="1" customWidth="1"/>
    <col min="10" max="10" width="14.775" style="1" customWidth="1"/>
    <col min="11" max="11" width="12.4416666666667" style="1" customWidth="1"/>
    <col min="12" max="16384" width="9" style="1"/>
  </cols>
  <sheetData>
    <row r="1" s="1" customFormat="1" ht="27.75" customHeight="1" spans="1:8">
      <c r="A1" s="2" t="s">
        <v>0</v>
      </c>
      <c r="B1" s="2"/>
      <c r="C1" s="2"/>
      <c r="D1" s="2"/>
      <c r="E1" s="2"/>
      <c r="F1" s="2"/>
      <c r="G1" s="2"/>
      <c r="H1" s="2"/>
    </row>
    <row r="2" s="1" customFormat="1" ht="18" customHeight="1" spans="1:8">
      <c r="A2" s="3" t="s">
        <v>1</v>
      </c>
      <c r="B2" s="3"/>
      <c r="C2" s="3"/>
      <c r="D2" s="3"/>
      <c r="E2" s="4"/>
      <c r="F2" s="4"/>
      <c r="G2" s="4"/>
      <c r="H2" s="4"/>
    </row>
    <row r="3" s="1" customFormat="1" ht="18" customHeight="1" spans="1:8">
      <c r="A3" s="3" t="s">
        <v>2</v>
      </c>
      <c r="B3" s="3"/>
      <c r="C3" s="3"/>
      <c r="D3" s="3"/>
      <c r="E3" s="4"/>
      <c r="F3" s="4"/>
      <c r="G3" s="4"/>
      <c r="H3" s="4"/>
    </row>
    <row r="4" s="1" customFormat="1" ht="28.5" customHeight="1" spans="1:2">
      <c r="A4" s="5" t="s">
        <v>3</v>
      </c>
      <c r="B4" s="6" t="s">
        <v>4</v>
      </c>
    </row>
    <row r="5" s="1" customFormat="1" ht="25.5" customHeight="1" spans="1:2">
      <c r="A5" s="7" t="s">
        <v>5</v>
      </c>
      <c r="B5" s="8">
        <v>1500</v>
      </c>
    </row>
    <row r="6" s="1" customFormat="1" ht="24" customHeight="1" spans="1:2">
      <c r="A6" s="7" t="s">
        <v>6</v>
      </c>
      <c r="B6" s="8">
        <v>1500</v>
      </c>
    </row>
    <row r="7" s="1" customFormat="1" ht="24" customHeight="1" spans="1:4">
      <c r="A7" s="3" t="s">
        <v>7</v>
      </c>
      <c r="B7" s="9"/>
      <c r="C7" s="10"/>
      <c r="D7" s="10"/>
    </row>
    <row r="8" s="1" customFormat="1" ht="24" customHeight="1" spans="1:4">
      <c r="A8" s="5" t="s">
        <v>3</v>
      </c>
      <c r="B8" s="5" t="s">
        <v>8</v>
      </c>
      <c r="C8" s="11" t="s">
        <v>9</v>
      </c>
      <c r="D8" s="12" t="s">
        <v>10</v>
      </c>
    </row>
    <row r="9" s="1" customFormat="1" ht="24" customHeight="1" spans="1:4">
      <c r="A9" s="7" t="s">
        <v>5</v>
      </c>
      <c r="B9" s="7">
        <v>1300</v>
      </c>
      <c r="C9" s="13" t="s">
        <v>11</v>
      </c>
      <c r="D9" s="13" t="s">
        <v>12</v>
      </c>
    </row>
    <row r="10" s="1" customFormat="1" ht="24" customHeight="1" spans="1:4">
      <c r="A10" s="7" t="s">
        <v>6</v>
      </c>
      <c r="B10" s="7">
        <v>1300</v>
      </c>
      <c r="C10" s="13" t="s">
        <v>13</v>
      </c>
      <c r="D10" s="13" t="s">
        <v>12</v>
      </c>
    </row>
    <row r="12" s="1" customFormat="1" ht="18" customHeight="1" spans="1:8">
      <c r="A12" s="3" t="s">
        <v>14</v>
      </c>
      <c r="B12" s="3"/>
      <c r="C12" s="3"/>
      <c r="D12" s="3"/>
      <c r="E12" s="4"/>
      <c r="F12" s="4"/>
      <c r="G12" s="4"/>
      <c r="H12" s="14"/>
    </row>
    <row r="13" s="1" customFormat="1" ht="22.5" customHeight="1" spans="1:3">
      <c r="A13" s="15" t="s">
        <v>2</v>
      </c>
      <c r="B13" s="15"/>
      <c r="C13" s="15"/>
    </row>
    <row r="14" s="1" customFormat="1" ht="32.25" customHeight="1" spans="1:3">
      <c r="A14" s="16" t="s">
        <v>15</v>
      </c>
      <c r="B14" s="16" t="s">
        <v>16</v>
      </c>
      <c r="C14" s="17" t="s">
        <v>17</v>
      </c>
    </row>
    <row r="15" s="1" customFormat="1" ht="18" customHeight="1" spans="1:3">
      <c r="A15" s="18" t="s">
        <v>18</v>
      </c>
      <c r="B15" s="19">
        <v>1333</v>
      </c>
      <c r="C15" s="13">
        <f t="shared" ref="C15:C54" si="0">B15*0.5</f>
        <v>666.5</v>
      </c>
    </row>
    <row r="16" s="1" customFormat="1" ht="18" customHeight="1" spans="1:3">
      <c r="A16" s="20" t="s">
        <v>19</v>
      </c>
      <c r="B16" s="21">
        <v>2000</v>
      </c>
      <c r="C16" s="13">
        <f t="shared" si="0"/>
        <v>1000</v>
      </c>
    </row>
    <row r="17" s="1" customFormat="1" ht="15.75" spans="1:3">
      <c r="A17" s="18" t="s">
        <v>20</v>
      </c>
      <c r="B17" s="19">
        <v>3333</v>
      </c>
      <c r="C17" s="13">
        <f t="shared" si="0"/>
        <v>1666.5</v>
      </c>
    </row>
    <row r="18" s="1" customFormat="1" ht="15.75" spans="1:3">
      <c r="A18" s="18" t="s">
        <v>21</v>
      </c>
      <c r="B18" s="19">
        <v>4667</v>
      </c>
      <c r="C18" s="13">
        <f t="shared" si="0"/>
        <v>2333.5</v>
      </c>
    </row>
    <row r="19" s="1" customFormat="1" ht="15.75" spans="1:3">
      <c r="A19" s="20" t="s">
        <v>22</v>
      </c>
      <c r="B19" s="21">
        <v>6000</v>
      </c>
      <c r="C19" s="13">
        <f t="shared" si="0"/>
        <v>3000</v>
      </c>
    </row>
    <row r="20" s="1" customFormat="1" ht="15.75" spans="1:3">
      <c r="A20" s="18" t="s">
        <v>23</v>
      </c>
      <c r="B20" s="19">
        <v>6769</v>
      </c>
      <c r="C20" s="13">
        <f t="shared" si="0"/>
        <v>3384.5</v>
      </c>
    </row>
    <row r="21" s="1" customFormat="1" ht="15.75" spans="1:3">
      <c r="A21" s="18" t="s">
        <v>24</v>
      </c>
      <c r="B21" s="19">
        <v>8692</v>
      </c>
      <c r="C21" s="13">
        <f t="shared" si="0"/>
        <v>4346</v>
      </c>
    </row>
    <row r="22" s="1" customFormat="1" ht="15.75" spans="1:3">
      <c r="A22" s="18" t="s">
        <v>25</v>
      </c>
      <c r="B22" s="19">
        <v>10615</v>
      </c>
      <c r="C22" s="13">
        <f t="shared" si="0"/>
        <v>5307.5</v>
      </c>
    </row>
    <row r="23" s="1" customFormat="1" ht="15.75" spans="1:3">
      <c r="A23" s="18" t="s">
        <v>26</v>
      </c>
      <c r="B23" s="19">
        <v>12538</v>
      </c>
      <c r="C23" s="13">
        <f t="shared" si="0"/>
        <v>6269</v>
      </c>
    </row>
    <row r="24" s="1" customFormat="1" ht="15.75" spans="1:3">
      <c r="A24" s="18" t="s">
        <v>27</v>
      </c>
      <c r="B24" s="19">
        <v>14462</v>
      </c>
      <c r="C24" s="13">
        <f t="shared" si="0"/>
        <v>7231</v>
      </c>
    </row>
    <row r="25" s="1" customFormat="1" ht="15.75" spans="1:3">
      <c r="A25" s="20" t="s">
        <v>28</v>
      </c>
      <c r="B25" s="21">
        <v>16000</v>
      </c>
      <c r="C25" s="13">
        <f t="shared" si="0"/>
        <v>8000</v>
      </c>
    </row>
    <row r="26" s="1" customFormat="1" ht="15.75" spans="1:3">
      <c r="A26" s="18" t="s">
        <v>29</v>
      </c>
      <c r="B26" s="19">
        <v>17388</v>
      </c>
      <c r="C26" s="13">
        <f t="shared" si="0"/>
        <v>8694</v>
      </c>
    </row>
    <row r="27" s="1" customFormat="1" ht="15.75" spans="1:3">
      <c r="A27" s="18" t="s">
        <v>30</v>
      </c>
      <c r="B27" s="19">
        <v>19702</v>
      </c>
      <c r="C27" s="13">
        <f t="shared" si="0"/>
        <v>9851</v>
      </c>
    </row>
    <row r="28" s="1" customFormat="1" ht="15.75" spans="1:3">
      <c r="A28" s="18" t="s">
        <v>31</v>
      </c>
      <c r="B28" s="19">
        <v>22017</v>
      </c>
      <c r="C28" s="13">
        <f t="shared" si="0"/>
        <v>11008.5</v>
      </c>
    </row>
    <row r="29" s="1" customFormat="1" ht="15.75" spans="1:3">
      <c r="A29" s="18" t="s">
        <v>32</v>
      </c>
      <c r="B29" s="19">
        <v>24331</v>
      </c>
      <c r="C29" s="13">
        <f t="shared" si="0"/>
        <v>12165.5</v>
      </c>
    </row>
    <row r="30" s="1" customFormat="1" ht="15.75" spans="1:3">
      <c r="A30" s="18" t="s">
        <v>33</v>
      </c>
      <c r="B30" s="19">
        <v>26645</v>
      </c>
      <c r="C30" s="13">
        <f t="shared" si="0"/>
        <v>13322.5</v>
      </c>
    </row>
    <row r="31" s="1" customFormat="1" ht="15.75" spans="1:3">
      <c r="A31" s="18" t="s">
        <v>34</v>
      </c>
      <c r="B31" s="19">
        <v>28959</v>
      </c>
      <c r="C31" s="13">
        <f t="shared" si="0"/>
        <v>14479.5</v>
      </c>
    </row>
    <row r="32" s="1" customFormat="1" ht="15.75" spans="1:3">
      <c r="A32" s="18" t="s">
        <v>35</v>
      </c>
      <c r="B32" s="19">
        <v>31273</v>
      </c>
      <c r="C32" s="13">
        <f t="shared" si="0"/>
        <v>15636.5</v>
      </c>
    </row>
    <row r="33" s="1" customFormat="1" ht="15.75" spans="1:3">
      <c r="A33" s="18" t="s">
        <v>36</v>
      </c>
      <c r="B33" s="19">
        <v>42843</v>
      </c>
      <c r="C33" s="13">
        <f t="shared" si="0"/>
        <v>21421.5</v>
      </c>
    </row>
    <row r="34" s="1" customFormat="1" ht="15.75" spans="1:3">
      <c r="A34" s="20" t="s">
        <v>37</v>
      </c>
      <c r="B34" s="21">
        <v>44000</v>
      </c>
      <c r="C34" s="13">
        <f t="shared" si="0"/>
        <v>22000</v>
      </c>
    </row>
    <row r="35" s="1" customFormat="1" ht="14.25" spans="1:3">
      <c r="A35" s="19" t="s">
        <v>38</v>
      </c>
      <c r="B35" s="19">
        <v>51612</v>
      </c>
      <c r="C35" s="13">
        <f t="shared" si="0"/>
        <v>25806</v>
      </c>
    </row>
    <row r="36" s="1" customFormat="1" ht="14.25" spans="1:3">
      <c r="A36" s="19" t="s">
        <v>39</v>
      </c>
      <c r="B36" s="19">
        <v>60071</v>
      </c>
      <c r="C36" s="13">
        <f t="shared" si="0"/>
        <v>30035.5</v>
      </c>
    </row>
    <row r="37" s="1" customFormat="1" ht="14.25" spans="1:3">
      <c r="A37" s="19" t="s">
        <v>40</v>
      </c>
      <c r="B37" s="19">
        <v>68529</v>
      </c>
      <c r="C37" s="13">
        <f t="shared" si="0"/>
        <v>34264.5</v>
      </c>
    </row>
    <row r="38" s="1" customFormat="1" ht="14.25" spans="1:3">
      <c r="A38" s="19" t="s">
        <v>41</v>
      </c>
      <c r="B38" s="19">
        <v>76987</v>
      </c>
      <c r="C38" s="13">
        <f t="shared" si="0"/>
        <v>38493.5</v>
      </c>
    </row>
    <row r="39" s="1" customFormat="1" ht="14.25" spans="1:3">
      <c r="A39" s="19" t="s">
        <v>42</v>
      </c>
      <c r="B39" s="19">
        <v>85445</v>
      </c>
      <c r="C39" s="13">
        <f t="shared" si="0"/>
        <v>42722.5</v>
      </c>
    </row>
    <row r="40" s="1" customFormat="1" ht="14.25" spans="1:3">
      <c r="A40" s="19" t="s">
        <v>43</v>
      </c>
      <c r="B40" s="19">
        <v>93904</v>
      </c>
      <c r="C40" s="13">
        <f t="shared" si="0"/>
        <v>46952</v>
      </c>
    </row>
    <row r="41" s="1" customFormat="1" ht="14.25" spans="1:3">
      <c r="A41" s="19" t="s">
        <v>44</v>
      </c>
      <c r="B41" s="19">
        <v>102362</v>
      </c>
      <c r="C41" s="13">
        <f t="shared" si="0"/>
        <v>51181</v>
      </c>
    </row>
    <row r="42" s="1" customFormat="1" ht="14.25" spans="1:3">
      <c r="A42" s="19" t="s">
        <v>45</v>
      </c>
      <c r="B42" s="19">
        <v>110820</v>
      </c>
      <c r="C42" s="13">
        <f t="shared" si="0"/>
        <v>55410</v>
      </c>
    </row>
    <row r="43" s="1" customFormat="1" ht="14.25" spans="1:3">
      <c r="A43" s="19" t="s">
        <v>46</v>
      </c>
      <c r="B43" s="19">
        <v>119278</v>
      </c>
      <c r="C43" s="13">
        <f t="shared" si="0"/>
        <v>59639</v>
      </c>
    </row>
    <row r="44" s="1" customFormat="1" ht="14.25" spans="1:3">
      <c r="A44" s="21" t="s">
        <v>47</v>
      </c>
      <c r="B44" s="21">
        <v>123000</v>
      </c>
      <c r="C44" s="13">
        <f t="shared" si="0"/>
        <v>61500</v>
      </c>
    </row>
    <row r="45" s="1" customFormat="1" ht="14.25" spans="1:3">
      <c r="A45" s="19" t="s">
        <v>48</v>
      </c>
      <c r="B45" s="19">
        <v>126295</v>
      </c>
      <c r="C45" s="13">
        <f t="shared" si="0"/>
        <v>63147.5</v>
      </c>
    </row>
    <row r="46" s="1" customFormat="1" ht="14.25" spans="1:3">
      <c r="A46" s="19" t="s">
        <v>49</v>
      </c>
      <c r="B46" s="19">
        <v>132179</v>
      </c>
      <c r="C46" s="13">
        <f t="shared" si="0"/>
        <v>66089.5</v>
      </c>
    </row>
    <row r="47" s="1" customFormat="1" ht="14.25" spans="1:3">
      <c r="A47" s="19" t="s">
        <v>50</v>
      </c>
      <c r="B47" s="19">
        <v>138063</v>
      </c>
      <c r="C47" s="13">
        <f t="shared" si="0"/>
        <v>69031.5</v>
      </c>
    </row>
    <row r="48" s="1" customFormat="1" ht="14.25" spans="1:3">
      <c r="A48" s="19" t="s">
        <v>51</v>
      </c>
      <c r="B48" s="19">
        <v>143947</v>
      </c>
      <c r="C48" s="13">
        <f t="shared" si="0"/>
        <v>71973.5</v>
      </c>
    </row>
    <row r="49" s="1" customFormat="1" ht="14.25" spans="1:3">
      <c r="A49" s="19" t="s">
        <v>52</v>
      </c>
      <c r="B49" s="19">
        <v>149831</v>
      </c>
      <c r="C49" s="13">
        <f t="shared" si="0"/>
        <v>74915.5</v>
      </c>
    </row>
    <row r="50" s="1" customFormat="1" ht="14.25" spans="1:3">
      <c r="A50" s="19" t="s">
        <v>53</v>
      </c>
      <c r="B50" s="19">
        <v>155715</v>
      </c>
      <c r="C50" s="13">
        <f t="shared" si="0"/>
        <v>77857.5</v>
      </c>
    </row>
    <row r="51" s="1" customFormat="1" ht="14.25" spans="1:3">
      <c r="A51" s="19" t="s">
        <v>54</v>
      </c>
      <c r="B51" s="19">
        <v>161599</v>
      </c>
      <c r="C51" s="13">
        <f t="shared" si="0"/>
        <v>80799.5</v>
      </c>
    </row>
    <row r="52" s="1" customFormat="1" ht="14.25" spans="1:3">
      <c r="A52" s="19" t="s">
        <v>55</v>
      </c>
      <c r="B52" s="19">
        <v>167482</v>
      </c>
      <c r="C52" s="13">
        <f t="shared" si="0"/>
        <v>83741</v>
      </c>
    </row>
    <row r="53" s="1" customFormat="1" ht="14.25" spans="1:3">
      <c r="A53" s="19" t="s">
        <v>56</v>
      </c>
      <c r="B53" s="19">
        <v>285161</v>
      </c>
      <c r="C53" s="13">
        <f t="shared" si="0"/>
        <v>142580.5</v>
      </c>
    </row>
    <row r="54" s="1" customFormat="1" ht="14.25" spans="1:3">
      <c r="A54" s="21" t="s">
        <v>57</v>
      </c>
      <c r="B54" s="21">
        <v>344000</v>
      </c>
      <c r="C54" s="13">
        <f t="shared" si="0"/>
        <v>172000</v>
      </c>
    </row>
    <row r="56" s="1" customFormat="1" spans="1:3">
      <c r="A56" s="22" t="s">
        <v>7</v>
      </c>
      <c r="B56" s="22"/>
      <c r="C56" s="22"/>
    </row>
    <row r="57" s="1" customFormat="1" spans="1:6">
      <c r="A57" s="23" t="s">
        <v>15</v>
      </c>
      <c r="B57" s="24" t="s">
        <v>58</v>
      </c>
      <c r="C57" s="25"/>
      <c r="D57" s="25"/>
      <c r="E57" s="26"/>
      <c r="F57" s="27" t="s">
        <v>59</v>
      </c>
    </row>
    <row r="58" s="1" customFormat="1" spans="1:6">
      <c r="A58" s="28"/>
      <c r="B58" s="29" t="s">
        <v>60</v>
      </c>
      <c r="C58" s="30" t="s">
        <v>61</v>
      </c>
      <c r="D58" s="30" t="s">
        <v>62</v>
      </c>
      <c r="E58" s="29" t="s">
        <v>63</v>
      </c>
      <c r="F58" s="31"/>
    </row>
    <row r="59" s="1" customFormat="1" ht="14.25" spans="1:6">
      <c r="A59" s="32" t="s">
        <v>18</v>
      </c>
      <c r="B59" s="19">
        <v>1333</v>
      </c>
      <c r="C59" s="19">
        <v>1333</v>
      </c>
      <c r="D59" s="13">
        <v>4167</v>
      </c>
      <c r="E59" s="33">
        <f t="shared" ref="E59:E97" si="1">B59+C59+D59</f>
        <v>6833</v>
      </c>
      <c r="F59" s="33">
        <f t="shared" ref="F59:F97" si="2">E59*0.5</f>
        <v>3416.5</v>
      </c>
    </row>
    <row r="60" s="1" customFormat="1" ht="14.25" spans="1:6">
      <c r="A60" s="34" t="s">
        <v>19</v>
      </c>
      <c r="B60" s="21">
        <v>2000</v>
      </c>
      <c r="C60" s="21">
        <v>2000</v>
      </c>
      <c r="D60" s="35">
        <v>6000</v>
      </c>
      <c r="E60" s="33">
        <f t="shared" si="1"/>
        <v>10000</v>
      </c>
      <c r="F60" s="33">
        <f t="shared" si="2"/>
        <v>5000</v>
      </c>
    </row>
    <row r="61" s="1" customFormat="1" ht="14.25" spans="1:6">
      <c r="A61" s="32" t="s">
        <v>20</v>
      </c>
      <c r="B61" s="19">
        <v>3333</v>
      </c>
      <c r="C61" s="19">
        <v>3333</v>
      </c>
      <c r="D61" s="13">
        <v>9667</v>
      </c>
      <c r="E61" s="33">
        <f t="shared" si="1"/>
        <v>16333</v>
      </c>
      <c r="F61" s="33">
        <f t="shared" si="2"/>
        <v>8166.5</v>
      </c>
    </row>
    <row r="62" s="1" customFormat="1" ht="14.25" spans="1:6">
      <c r="A62" s="32" t="s">
        <v>21</v>
      </c>
      <c r="B62" s="19">
        <v>4667</v>
      </c>
      <c r="C62" s="19">
        <v>4667</v>
      </c>
      <c r="D62" s="13">
        <v>13333</v>
      </c>
      <c r="E62" s="33">
        <f t="shared" si="1"/>
        <v>22667</v>
      </c>
      <c r="F62" s="33">
        <f t="shared" si="2"/>
        <v>11333.5</v>
      </c>
    </row>
    <row r="63" s="1" customFormat="1" ht="14.25" spans="1:6">
      <c r="A63" s="34" t="s">
        <v>22</v>
      </c>
      <c r="B63" s="21">
        <v>6000</v>
      </c>
      <c r="C63" s="21">
        <v>6000</v>
      </c>
      <c r="D63" s="35">
        <v>17000</v>
      </c>
      <c r="E63" s="33">
        <f t="shared" si="1"/>
        <v>29000</v>
      </c>
      <c r="F63" s="33">
        <f t="shared" si="2"/>
        <v>14500</v>
      </c>
    </row>
    <row r="64" s="1" customFormat="1" ht="14.25" spans="1:6">
      <c r="A64" s="32" t="s">
        <v>23</v>
      </c>
      <c r="B64" s="19">
        <v>6769</v>
      </c>
      <c r="C64" s="19">
        <v>6769</v>
      </c>
      <c r="D64" s="13">
        <v>19308</v>
      </c>
      <c r="E64" s="33">
        <f t="shared" si="1"/>
        <v>32846</v>
      </c>
      <c r="F64" s="33">
        <f t="shared" si="2"/>
        <v>16423</v>
      </c>
    </row>
    <row r="65" s="1" customFormat="1" ht="14.25" spans="1:6">
      <c r="A65" s="32" t="s">
        <v>24</v>
      </c>
      <c r="B65" s="19">
        <v>8692</v>
      </c>
      <c r="C65" s="19">
        <v>8692</v>
      </c>
      <c r="D65" s="13">
        <v>25077</v>
      </c>
      <c r="E65" s="33">
        <f t="shared" si="1"/>
        <v>42461</v>
      </c>
      <c r="F65" s="33">
        <f t="shared" si="2"/>
        <v>21230.5</v>
      </c>
    </row>
    <row r="66" s="1" customFormat="1" ht="14.25" spans="1:6">
      <c r="A66" s="32" t="s">
        <v>25</v>
      </c>
      <c r="B66" s="19">
        <v>10615</v>
      </c>
      <c r="C66" s="19">
        <v>10615</v>
      </c>
      <c r="D66" s="13">
        <v>30846</v>
      </c>
      <c r="E66" s="33">
        <f t="shared" si="1"/>
        <v>52076</v>
      </c>
      <c r="F66" s="33">
        <f t="shared" si="2"/>
        <v>26038</v>
      </c>
    </row>
    <row r="67" s="1" customFormat="1" ht="14.25" spans="1:6">
      <c r="A67" s="32" t="s">
        <v>26</v>
      </c>
      <c r="B67" s="19">
        <v>12538</v>
      </c>
      <c r="C67" s="19">
        <v>12538</v>
      </c>
      <c r="D67" s="13">
        <v>36615</v>
      </c>
      <c r="E67" s="33">
        <f t="shared" si="1"/>
        <v>61691</v>
      </c>
      <c r="F67" s="33">
        <f t="shared" si="2"/>
        <v>30845.5</v>
      </c>
    </row>
    <row r="68" s="1" customFormat="1" ht="14.25" spans="1:6">
      <c r="A68" s="32" t="s">
        <v>27</v>
      </c>
      <c r="B68" s="19">
        <v>14462</v>
      </c>
      <c r="C68" s="19">
        <v>14462</v>
      </c>
      <c r="D68" s="13">
        <v>42385</v>
      </c>
      <c r="E68" s="33">
        <f t="shared" si="1"/>
        <v>71309</v>
      </c>
      <c r="F68" s="33">
        <f t="shared" si="2"/>
        <v>35654.5</v>
      </c>
    </row>
    <row r="69" s="1" customFormat="1" ht="14.25" spans="1:6">
      <c r="A69" s="34" t="s">
        <v>28</v>
      </c>
      <c r="B69" s="21">
        <v>16000</v>
      </c>
      <c r="C69" s="21">
        <v>16000</v>
      </c>
      <c r="D69" s="35">
        <v>47000</v>
      </c>
      <c r="E69" s="33">
        <f t="shared" si="1"/>
        <v>79000</v>
      </c>
      <c r="F69" s="33">
        <f t="shared" si="2"/>
        <v>39500</v>
      </c>
    </row>
    <row r="70" s="1" customFormat="1" ht="14.25" spans="1:6">
      <c r="A70" s="32" t="s">
        <v>29</v>
      </c>
      <c r="B70" s="19">
        <v>17388</v>
      </c>
      <c r="C70" s="19">
        <v>17388</v>
      </c>
      <c r="D70" s="13">
        <v>51215</v>
      </c>
      <c r="E70" s="33">
        <f t="shared" si="1"/>
        <v>85991</v>
      </c>
      <c r="F70" s="33">
        <f t="shared" si="2"/>
        <v>42995.5</v>
      </c>
    </row>
    <row r="71" s="1" customFormat="1" ht="14.25" spans="1:6">
      <c r="A71" s="32" t="s">
        <v>30</v>
      </c>
      <c r="B71" s="19">
        <v>19702</v>
      </c>
      <c r="C71" s="19">
        <v>19702</v>
      </c>
      <c r="D71" s="13">
        <v>58240</v>
      </c>
      <c r="E71" s="33">
        <f t="shared" si="1"/>
        <v>97644</v>
      </c>
      <c r="F71" s="33">
        <f t="shared" si="2"/>
        <v>48822</v>
      </c>
    </row>
    <row r="72" s="1" customFormat="1" ht="14.25" spans="1:6">
      <c r="A72" s="32" t="s">
        <v>31</v>
      </c>
      <c r="B72" s="19">
        <v>22017</v>
      </c>
      <c r="C72" s="19">
        <v>22017</v>
      </c>
      <c r="D72" s="13">
        <v>65264</v>
      </c>
      <c r="E72" s="33">
        <f t="shared" si="1"/>
        <v>109298</v>
      </c>
      <c r="F72" s="33">
        <f t="shared" si="2"/>
        <v>54649</v>
      </c>
    </row>
    <row r="73" s="1" customFormat="1" ht="14.25" spans="1:6">
      <c r="A73" s="32" t="s">
        <v>32</v>
      </c>
      <c r="B73" s="19">
        <v>24331</v>
      </c>
      <c r="C73" s="19">
        <v>24331</v>
      </c>
      <c r="D73" s="13">
        <v>72289</v>
      </c>
      <c r="E73" s="33">
        <f t="shared" si="1"/>
        <v>120951</v>
      </c>
      <c r="F73" s="33">
        <f t="shared" si="2"/>
        <v>60475.5</v>
      </c>
    </row>
    <row r="74" s="1" customFormat="1" ht="14.25" spans="1:6">
      <c r="A74" s="32" t="s">
        <v>33</v>
      </c>
      <c r="B74" s="19">
        <v>26645</v>
      </c>
      <c r="C74" s="19">
        <v>26645</v>
      </c>
      <c r="D74" s="13">
        <v>79314</v>
      </c>
      <c r="E74" s="33">
        <f t="shared" si="1"/>
        <v>132604</v>
      </c>
      <c r="F74" s="33">
        <f t="shared" si="2"/>
        <v>66302</v>
      </c>
    </row>
    <row r="75" s="1" customFormat="1" ht="14.25" spans="1:6">
      <c r="A75" s="32" t="s">
        <v>34</v>
      </c>
      <c r="B75" s="19">
        <v>28959</v>
      </c>
      <c r="C75" s="19">
        <v>28959</v>
      </c>
      <c r="D75" s="13">
        <v>86339</v>
      </c>
      <c r="E75" s="33">
        <f t="shared" si="1"/>
        <v>144257</v>
      </c>
      <c r="F75" s="33">
        <f t="shared" si="2"/>
        <v>72128.5</v>
      </c>
    </row>
    <row r="76" s="1" customFormat="1" ht="14.25" spans="1:6">
      <c r="A76" s="32" t="s">
        <v>35</v>
      </c>
      <c r="B76" s="19">
        <v>31273</v>
      </c>
      <c r="C76" s="19">
        <v>31273</v>
      </c>
      <c r="D76" s="13">
        <v>93364</v>
      </c>
      <c r="E76" s="33">
        <f t="shared" si="1"/>
        <v>155910</v>
      </c>
      <c r="F76" s="33">
        <f t="shared" si="2"/>
        <v>77955</v>
      </c>
    </row>
    <row r="77" s="1" customFormat="1" ht="14.25" spans="1:6">
      <c r="A77" s="32" t="s">
        <v>36</v>
      </c>
      <c r="B77" s="19">
        <v>42843</v>
      </c>
      <c r="C77" s="19">
        <v>42843</v>
      </c>
      <c r="D77" s="13">
        <v>128488</v>
      </c>
      <c r="E77" s="33">
        <f t="shared" si="1"/>
        <v>214174</v>
      </c>
      <c r="F77" s="33">
        <f t="shared" si="2"/>
        <v>107087</v>
      </c>
    </row>
    <row r="78" s="1" customFormat="1" ht="14.25" spans="1:6">
      <c r="A78" s="34" t="s">
        <v>37</v>
      </c>
      <c r="B78" s="21">
        <v>44000</v>
      </c>
      <c r="C78" s="21">
        <v>44000</v>
      </c>
      <c r="D78" s="35">
        <v>132000</v>
      </c>
      <c r="E78" s="33">
        <f t="shared" si="1"/>
        <v>220000</v>
      </c>
      <c r="F78" s="33">
        <f t="shared" si="2"/>
        <v>110000</v>
      </c>
    </row>
    <row r="79" s="1" customFormat="1" ht="14.25" spans="1:6">
      <c r="A79" s="36" t="s">
        <v>38</v>
      </c>
      <c r="B79" s="19">
        <v>51612</v>
      </c>
      <c r="C79" s="19">
        <v>51612</v>
      </c>
      <c r="D79" s="13">
        <v>154934</v>
      </c>
      <c r="E79" s="33">
        <f t="shared" si="1"/>
        <v>258158</v>
      </c>
      <c r="F79" s="33">
        <f t="shared" si="2"/>
        <v>129079</v>
      </c>
    </row>
    <row r="80" s="1" customFormat="1" ht="14.25" spans="1:6">
      <c r="A80" s="36" t="s">
        <v>39</v>
      </c>
      <c r="B80" s="19">
        <v>60071</v>
      </c>
      <c r="C80" s="19">
        <v>60071</v>
      </c>
      <c r="D80" s="13">
        <v>180415</v>
      </c>
      <c r="E80" s="33">
        <f t="shared" si="1"/>
        <v>300557</v>
      </c>
      <c r="F80" s="33">
        <f t="shared" si="2"/>
        <v>150278.5</v>
      </c>
    </row>
    <row r="81" s="1" customFormat="1" ht="14.25" spans="1:6">
      <c r="A81" s="36" t="s">
        <v>40</v>
      </c>
      <c r="B81" s="19">
        <v>68529</v>
      </c>
      <c r="C81" s="19">
        <v>68529</v>
      </c>
      <c r="D81" s="13">
        <v>205897</v>
      </c>
      <c r="E81" s="33">
        <f t="shared" si="1"/>
        <v>342955</v>
      </c>
      <c r="F81" s="33">
        <f t="shared" si="2"/>
        <v>171477.5</v>
      </c>
    </row>
    <row r="82" s="1" customFormat="1" ht="14.25" spans="1:6">
      <c r="A82" s="36" t="s">
        <v>41</v>
      </c>
      <c r="B82" s="19">
        <v>76987</v>
      </c>
      <c r="C82" s="19">
        <v>76987</v>
      </c>
      <c r="D82" s="13">
        <v>231379</v>
      </c>
      <c r="E82" s="33">
        <f t="shared" si="1"/>
        <v>385353</v>
      </c>
      <c r="F82" s="33">
        <f t="shared" si="2"/>
        <v>192676.5</v>
      </c>
    </row>
    <row r="83" s="1" customFormat="1" ht="14.25" spans="1:6">
      <c r="A83" s="36" t="s">
        <v>42</v>
      </c>
      <c r="B83" s="19">
        <v>85445</v>
      </c>
      <c r="C83" s="19">
        <v>85445</v>
      </c>
      <c r="D83" s="13">
        <v>256861</v>
      </c>
      <c r="E83" s="33">
        <f t="shared" si="1"/>
        <v>427751</v>
      </c>
      <c r="F83" s="33">
        <f t="shared" si="2"/>
        <v>213875.5</v>
      </c>
    </row>
    <row r="84" s="1" customFormat="1" ht="14.25" spans="1:6">
      <c r="A84" s="36" t="s">
        <v>43</v>
      </c>
      <c r="B84" s="19">
        <v>93904</v>
      </c>
      <c r="C84" s="19">
        <v>93904</v>
      </c>
      <c r="D84" s="13">
        <v>282343</v>
      </c>
      <c r="E84" s="33">
        <f t="shared" si="1"/>
        <v>470151</v>
      </c>
      <c r="F84" s="33">
        <f t="shared" si="2"/>
        <v>235075.5</v>
      </c>
    </row>
    <row r="85" s="1" customFormat="1" ht="14.25" spans="1:6">
      <c r="A85" s="36" t="s">
        <v>44</v>
      </c>
      <c r="B85" s="19">
        <v>102362</v>
      </c>
      <c r="C85" s="19">
        <v>102362</v>
      </c>
      <c r="D85" s="13">
        <v>307824</v>
      </c>
      <c r="E85" s="33">
        <f t="shared" si="1"/>
        <v>512548</v>
      </c>
      <c r="F85" s="33">
        <f t="shared" si="2"/>
        <v>256274</v>
      </c>
    </row>
    <row r="86" s="1" customFormat="1" ht="14.25" spans="1:6">
      <c r="A86" s="36" t="s">
        <v>45</v>
      </c>
      <c r="B86" s="19">
        <v>110820</v>
      </c>
      <c r="C86" s="19">
        <v>110820</v>
      </c>
      <c r="D86" s="13">
        <v>333306</v>
      </c>
      <c r="E86" s="33">
        <f t="shared" si="1"/>
        <v>554946</v>
      </c>
      <c r="F86" s="33">
        <f t="shared" si="2"/>
        <v>277473</v>
      </c>
    </row>
    <row r="87" s="1" customFormat="1" ht="14.25" spans="1:6">
      <c r="A87" s="36" t="s">
        <v>46</v>
      </c>
      <c r="B87" s="19">
        <v>119278</v>
      </c>
      <c r="C87" s="19">
        <v>119278</v>
      </c>
      <c r="D87" s="13">
        <v>358788</v>
      </c>
      <c r="E87" s="33">
        <f t="shared" si="1"/>
        <v>597344</v>
      </c>
      <c r="F87" s="33">
        <f t="shared" si="2"/>
        <v>298672</v>
      </c>
    </row>
    <row r="88" s="1" customFormat="1" ht="14.25" spans="1:6">
      <c r="A88" s="37" t="s">
        <v>47</v>
      </c>
      <c r="B88" s="21">
        <v>123000</v>
      </c>
      <c r="C88" s="21">
        <v>123000</v>
      </c>
      <c r="D88" s="35">
        <v>370000</v>
      </c>
      <c r="E88" s="33">
        <f t="shared" si="1"/>
        <v>616000</v>
      </c>
      <c r="F88" s="33">
        <f t="shared" si="2"/>
        <v>308000</v>
      </c>
    </row>
    <row r="89" s="1" customFormat="1" ht="14.25" spans="1:6">
      <c r="A89" s="36" t="s">
        <v>48</v>
      </c>
      <c r="B89" s="19">
        <v>126295</v>
      </c>
      <c r="C89" s="19">
        <v>126295</v>
      </c>
      <c r="D89" s="13">
        <v>379885</v>
      </c>
      <c r="E89" s="33">
        <f t="shared" si="1"/>
        <v>632475</v>
      </c>
      <c r="F89" s="33">
        <f t="shared" si="2"/>
        <v>316237.5</v>
      </c>
    </row>
    <row r="90" s="1" customFormat="1" ht="14.25" spans="1:6">
      <c r="A90" s="36" t="s">
        <v>49</v>
      </c>
      <c r="B90" s="19">
        <v>132179</v>
      </c>
      <c r="C90" s="19">
        <v>132179</v>
      </c>
      <c r="D90" s="13">
        <v>397537</v>
      </c>
      <c r="E90" s="33">
        <f t="shared" si="1"/>
        <v>661895</v>
      </c>
      <c r="F90" s="33">
        <f t="shared" si="2"/>
        <v>330947.5</v>
      </c>
    </row>
    <row r="91" s="1" customFormat="1" ht="14.25" spans="1:6">
      <c r="A91" s="36" t="s">
        <v>50</v>
      </c>
      <c r="B91" s="19">
        <v>138063</v>
      </c>
      <c r="C91" s="19">
        <v>138063</v>
      </c>
      <c r="D91" s="13">
        <v>415188</v>
      </c>
      <c r="E91" s="33">
        <f t="shared" si="1"/>
        <v>691314</v>
      </c>
      <c r="F91" s="33">
        <f t="shared" si="2"/>
        <v>345657</v>
      </c>
    </row>
    <row r="92" s="1" customFormat="1" ht="14.25" spans="1:6">
      <c r="A92" s="36" t="s">
        <v>51</v>
      </c>
      <c r="B92" s="19">
        <v>143947</v>
      </c>
      <c r="C92" s="19">
        <v>143947</v>
      </c>
      <c r="D92" s="13">
        <v>432840</v>
      </c>
      <c r="E92" s="33">
        <f t="shared" si="1"/>
        <v>720734</v>
      </c>
      <c r="F92" s="33">
        <f t="shared" si="2"/>
        <v>360367</v>
      </c>
    </row>
    <row r="93" s="1" customFormat="1" ht="14.25" spans="1:6">
      <c r="A93" s="36" t="s">
        <v>52</v>
      </c>
      <c r="B93" s="19">
        <v>149831</v>
      </c>
      <c r="C93" s="19">
        <v>149831</v>
      </c>
      <c r="D93" s="13">
        <v>450492</v>
      </c>
      <c r="E93" s="33">
        <f t="shared" si="1"/>
        <v>750154</v>
      </c>
      <c r="F93" s="33">
        <f t="shared" si="2"/>
        <v>375077</v>
      </c>
    </row>
    <row r="94" s="1" customFormat="1" ht="14.25" spans="1:6">
      <c r="A94" s="36" t="s">
        <v>53</v>
      </c>
      <c r="B94" s="19">
        <v>155715</v>
      </c>
      <c r="C94" s="19">
        <v>155715</v>
      </c>
      <c r="D94" s="13">
        <v>468144</v>
      </c>
      <c r="E94" s="33">
        <f t="shared" si="1"/>
        <v>779574</v>
      </c>
      <c r="F94" s="33">
        <f t="shared" si="2"/>
        <v>389787</v>
      </c>
    </row>
    <row r="95" s="1" customFormat="1" ht="14.25" spans="1:6">
      <c r="A95" s="36" t="s">
        <v>54</v>
      </c>
      <c r="B95" s="19">
        <v>161599</v>
      </c>
      <c r="C95" s="19">
        <v>161599</v>
      </c>
      <c r="D95" s="13">
        <v>485796</v>
      </c>
      <c r="E95" s="33">
        <f t="shared" si="1"/>
        <v>808994</v>
      </c>
      <c r="F95" s="33">
        <f t="shared" si="2"/>
        <v>404497</v>
      </c>
    </row>
    <row r="96" s="1" customFormat="1" ht="14.25" spans="1:6">
      <c r="A96" s="36" t="s">
        <v>55</v>
      </c>
      <c r="B96" s="19">
        <v>167482</v>
      </c>
      <c r="C96" s="19">
        <v>167482</v>
      </c>
      <c r="D96" s="13">
        <v>503447</v>
      </c>
      <c r="E96" s="33">
        <f t="shared" si="1"/>
        <v>838411</v>
      </c>
      <c r="F96" s="33">
        <f t="shared" si="2"/>
        <v>419205.5</v>
      </c>
    </row>
    <row r="97" s="1" customFormat="1" ht="14.25" spans="1:6">
      <c r="A97" s="37" t="s">
        <v>57</v>
      </c>
      <c r="B97" s="21">
        <v>344000</v>
      </c>
      <c r="C97" s="21">
        <v>344000</v>
      </c>
      <c r="D97" s="35">
        <v>1033000</v>
      </c>
      <c r="E97" s="33">
        <f t="shared" si="1"/>
        <v>1721000</v>
      </c>
      <c r="F97" s="33">
        <f t="shared" si="2"/>
        <v>860500</v>
      </c>
    </row>
  </sheetData>
  <mergeCells count="8">
    <mergeCell ref="A1:H1"/>
    <mergeCell ref="A2:D2"/>
    <mergeCell ref="A12:D12"/>
    <mergeCell ref="A13:C13"/>
    <mergeCell ref="A56:C56"/>
    <mergeCell ref="B57:E57"/>
    <mergeCell ref="A57:A58"/>
    <mergeCell ref="F57:F5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caill</dc:creator>
  <cp:lastModifiedBy>蔡丽丽</cp:lastModifiedBy>
  <dcterms:created xsi:type="dcterms:W3CDTF">2026-06-12T06:28:52Z</dcterms:created>
  <dcterms:modified xsi:type="dcterms:W3CDTF">2026-06-12T06:29:49Z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9199C3F76D8C4204BDB2F3C95E5362EA_11</vt:lpwstr>
  </property>
  <property fmtid="{D5CDD505-2E9C-101B-9397-08002B2CF9AE}" pid="3" name="KSOProductBuildVer">
    <vt:lpwstr>2052-12.1.0.19302</vt:lpwstr>
  </property>
</Properties>
</file>