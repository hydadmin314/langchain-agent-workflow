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\\runwell\公用文件\2 产品\2 产品资费\"/>
    </mc:Choice>
  </mc:AlternateContent>
  <bookViews>
    <workbookView xWindow="-105" yWindow="-105" windowWidth="23250" windowHeight="12570" activeTab="1"/>
  </bookViews>
  <sheets>
    <sheet name="三级-产品分类" sheetId="19" r:id="rId1"/>
    <sheet name="语音网关" sheetId="25" r:id="rId2"/>
    <sheet name="office365" sheetId="2" r:id="rId3"/>
    <sheet name="Zoom" sheetId="24" r:id="rId4"/>
    <sheet name="SD-WAN" sheetId="23" r:id="rId5"/>
    <sheet name="国际路由优化" sheetId="7" r:id="rId6"/>
    <sheet name="ISP" sheetId="8" r:id="rId7"/>
  </sheets>
  <externalReferences>
    <externalReference r:id="rId8"/>
  </externalReferences>
  <definedNames>
    <definedName name="DATA10">[1]Pricing!#REF!</definedName>
    <definedName name="DATA11">[1]Pricing!#REF!</definedName>
    <definedName name="DATA12">[1]Pricing!#REF!</definedName>
    <definedName name="DATA13">[1]Pricing!#REF!</definedName>
    <definedName name="DATA15">[1]Pricing!#REF!</definedName>
    <definedName name="DATA16">[1]Pricing!#REF!</definedName>
    <definedName name="DATA17">[1]Pricing!#REF!</definedName>
    <definedName name="DATA18">[1]Pricing!#REF!</definedName>
    <definedName name="DATA19">[1]Pricing!#REF!</definedName>
    <definedName name="DATA20">[1]Pricing!#REF!</definedName>
    <definedName name="DATA21">[1]Pricing!#REF!</definedName>
    <definedName name="DATA25">[1]Pricing!#REF!</definedName>
    <definedName name="DATA26">[1]Pricing!#REF!</definedName>
    <definedName name="DATA3">[1]Pricing!#REF!</definedName>
    <definedName name="DATA31">[1]Pricing!#REF!</definedName>
    <definedName name="DATA32">[1]Pricing!#REF!</definedName>
    <definedName name="DATA33">[1]Pricing!#REF!</definedName>
    <definedName name="DATA34">[1]Pricing!#REF!</definedName>
    <definedName name="DATA35">[1]Pricing!#REF!</definedName>
    <definedName name="DATA36">[1]Pricing!#REF!</definedName>
    <definedName name="DATA37">[1]Pricing!#REF!</definedName>
    <definedName name="DATA4">[1]Pricing!#REF!</definedName>
    <definedName name="DATA5">[1]Pricing!#REF!</definedName>
    <definedName name="DATA6">[1]Pricing!#REF!</definedName>
    <definedName name="DATA7">[1]Pricing!#REF!</definedName>
    <definedName name="DATA8">[1]Pricing!#REF!</definedName>
    <definedName name="DATA9">[1]Pricing!#REF!</definedName>
    <definedName name="DATA93">[1]Pricing!#REF!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2" i="2"/>
</calcChain>
</file>

<file path=xl/sharedStrings.xml><?xml version="1.0" encoding="utf-8"?>
<sst xmlns="http://schemas.openxmlformats.org/spreadsheetml/2006/main" count="1185" uniqueCount="359">
  <si>
    <t>50GB，安全及性能完全能满足绝大部分用户的邮件使用。</t>
  </si>
  <si>
    <t>100GB，比邮件计划1空间多，多了自动保留策略、DLP以及在线存档空间等策略，适合对策略要求多的客户使用</t>
  </si>
  <si>
    <t>Exchange Online Archiving for Exchange Online</t>
  </si>
  <si>
    <t>当客户Exchange邮件的在线归档空间不够的时候，可以加买归档空间。</t>
  </si>
  <si>
    <t>Exchange Online Kiosk</t>
  </si>
  <si>
    <t>2GB，小容量的邮箱，适合只需要用邮箱且收发邮件量很少的用户。</t>
  </si>
  <si>
    <t>Exchange Online Protection</t>
  </si>
  <si>
    <t>适用于本身已经在使用本地Exchange服务器的客户，想买在线的邮件防护，比买本地产品划算和方便。</t>
  </si>
  <si>
    <t>最多买300个，是个小套包，包括邮件、Skype企业音视频会议和Sharepoint文件服务器，不含Office套件</t>
  </si>
  <si>
    <t>是一个专业增强版的Office客户端，产品里面只有Office，不包含邮件、音视频系统和文档服务器。</t>
  </si>
  <si>
    <t>Office 365 Enterprise E1</t>
  </si>
  <si>
    <t>功能同商业基础版，但是不限制采购数量，也多一些安全管控策略的配置，所以价格略高。</t>
  </si>
  <si>
    <t>Office 365 Enterprise E3</t>
  </si>
  <si>
    <t>是一个大套包，包括Office专业增强版、邮件计划2、Skype企业音视频会议计划2和Sharepoint文件服务器计划2，每个计划在策略配置上都做了增强。</t>
  </si>
  <si>
    <t>整个套包中，除了邮箱还有文件功能。Office是在线的，即用浏览器编辑查看PPT/Word/Excel等，适合不需要经常处理文件、只需要少量浏览和查看的一线员工使用，比如工厂流水线值班工人，医院护士台等。</t>
  </si>
  <si>
    <t>OneDrive for Business with Office Online</t>
  </si>
  <si>
    <t>在线网盘+在线用浏览器访问的Office，实际采购场景不多。</t>
  </si>
  <si>
    <t>SharePoint Online (Plan 1)</t>
  </si>
  <si>
    <t>文件服务器计划1，1TB云存储空间，内外部文件共享，版本控制，支持OA办公流等</t>
  </si>
  <si>
    <t>SharePoint Online (Plan 2)</t>
  </si>
  <si>
    <t>文件服务器计划2，无线云存储空间，内外部文件共享，版本控制，支持OA办公流，支持高级策略配置如数据防丢失、就地保留等。</t>
  </si>
  <si>
    <t>Office 365 Extra File Storage</t>
  </si>
  <si>
    <t>当Sharepoint空间不够时，可加买文件存储空间。</t>
  </si>
  <si>
    <t>Skype for Business Online (Plan 1)</t>
  </si>
  <si>
    <t>Skype企业音视频会议计划1，只适合1对1沟通，不适合企业三方以上会议，适用于会议室对会议室单点会议。</t>
  </si>
  <si>
    <t>Skype for Business Online (Plan 2)</t>
  </si>
  <si>
    <t>Skype企业音视频会议计划2，公司内部聊天、音视频会议，支持250人同时在线，支持录制，与Office协同。</t>
  </si>
  <si>
    <t>Visio Online Plan 1</t>
  </si>
  <si>
    <t>适合需要在喜爱的浏览器中创建和共享简单图表的用户，包括 2GB OneDrive 存储空间。</t>
  </si>
  <si>
    <t>Visio Online Plan 2</t>
  </si>
  <si>
    <t>适合需要创建符合行业标准且能够连接到数据的专业商业图表和 IT 图表的用户，包含Visio计划1的所有功能</t>
  </si>
  <si>
    <t>Project Online Essentials</t>
  </si>
  <si>
    <t>轻量级项目管理软件，无客户端，通过 Web 浏览器进行项目管理。</t>
  </si>
  <si>
    <t>Project Online Professional</t>
  </si>
  <si>
    <t>常用项目管理软件，带客户端，可通过Web浏览器或者本地客户端进行项目管理。绝大部分客户采购这个版本。</t>
  </si>
  <si>
    <t>Project Online Premium</t>
  </si>
  <si>
    <t>高级项目管理软件，带客户端，可进行项目组合优化，通过标准化流程设置需求管理，并在分配任务时做企业资源规划与管理。</t>
  </si>
  <si>
    <t>Power BI Pro</t>
  </si>
  <si>
    <t>专业数据分析软件，交互式数据，丰富的可视化效果，便于企业做数据分析。</t>
  </si>
  <si>
    <t>产品编号</t>
    <phoneticPr fontId="3" type="noConversion"/>
  </si>
  <si>
    <t>Exchange Online (Plan 1)</t>
    <phoneticPr fontId="3" type="noConversion"/>
  </si>
  <si>
    <t>产品名称</t>
    <phoneticPr fontId="3" type="noConversion"/>
  </si>
  <si>
    <t>品牌</t>
    <phoneticPr fontId="3" type="noConversion"/>
  </si>
  <si>
    <t xml:space="preserve">微软 </t>
    <phoneticPr fontId="3" type="noConversion"/>
  </si>
  <si>
    <t>产品分类</t>
    <phoneticPr fontId="3" type="noConversion"/>
  </si>
  <si>
    <t>Exchange Online (Plan 2)</t>
    <phoneticPr fontId="3" type="noConversion"/>
  </si>
  <si>
    <t>Office365</t>
  </si>
  <si>
    <t>Office365</t>
    <phoneticPr fontId="3" type="noConversion"/>
  </si>
  <si>
    <t>Office 365 F3</t>
    <phoneticPr fontId="3" type="noConversion"/>
  </si>
  <si>
    <t>产品描述</t>
    <phoneticPr fontId="3" type="noConversion"/>
  </si>
  <si>
    <t>规格型号</t>
    <phoneticPr fontId="3" type="noConversion"/>
  </si>
  <si>
    <t>国际路由优化</t>
    <phoneticPr fontId="3" type="noConversion"/>
  </si>
  <si>
    <t>电信</t>
    <phoneticPr fontId="3" type="noConversion"/>
  </si>
  <si>
    <t>ISP</t>
    <phoneticPr fontId="3" type="noConversion"/>
  </si>
  <si>
    <t>销售价
（元）</t>
    <phoneticPr fontId="7" type="noConversion"/>
  </si>
  <si>
    <t>联通</t>
    <phoneticPr fontId="3" type="noConversion"/>
  </si>
  <si>
    <t>年付</t>
    <phoneticPr fontId="3" type="noConversion"/>
  </si>
  <si>
    <t>包含1-5个可用IP地址，最多可申请13个可用IP地址</t>
    <phoneticPr fontId="3" type="noConversion"/>
  </si>
  <si>
    <t>包含1-5个可用IP地址，最多可申请29个可用IP地址</t>
    <phoneticPr fontId="3" type="noConversion"/>
  </si>
  <si>
    <t>包含1-13个可用IP地址，最多可申请29个可用IP地址</t>
    <phoneticPr fontId="3" type="noConversion"/>
  </si>
  <si>
    <t>包含1-29个可用IP地址，最多可申请61个可用IP地址</t>
    <phoneticPr fontId="3" type="noConversion"/>
  </si>
  <si>
    <t>包含1-125个可用IP地址，最多可申请253个可用IP地址</t>
    <phoneticPr fontId="3" type="noConversion"/>
  </si>
  <si>
    <t>包含1-253个可用IP地址，最多可申请509个可用IP地址</t>
    <phoneticPr fontId="3" type="noConversion"/>
  </si>
  <si>
    <t>包含5个可用IPv4地址，/64个IPv6地址</t>
    <phoneticPr fontId="3" type="noConversion"/>
  </si>
  <si>
    <t>包含1个可用IPv4地址，/64个IPv6地址</t>
    <phoneticPr fontId="3" type="noConversion"/>
  </si>
  <si>
    <t>包含5个可用IPv4地址，/56个IPv6地址</t>
    <phoneticPr fontId="3" type="noConversion"/>
  </si>
  <si>
    <t>包含1个可用IPv4地址，/56个IPv6地址</t>
    <phoneticPr fontId="3" type="noConversion"/>
  </si>
  <si>
    <t>包含13个可用IPv4地址，/56个IPv6地址</t>
    <phoneticPr fontId="3" type="noConversion"/>
  </si>
  <si>
    <t>包含61个可用IPv4地址，/56个IPv6地址</t>
    <phoneticPr fontId="3" type="noConversion"/>
  </si>
  <si>
    <t>包含125个可用IPv4地址，/56个IPv6地址</t>
    <phoneticPr fontId="3" type="noConversion"/>
  </si>
  <si>
    <t>包含253个可用IPv4地址，/56个IPv6地址</t>
    <phoneticPr fontId="3" type="noConversion"/>
  </si>
  <si>
    <t>包含253个可用IPv4地址，/52个IPv6地址</t>
    <phoneticPr fontId="3" type="noConversion"/>
  </si>
  <si>
    <t>序号</t>
    <phoneticPr fontId="3" type="noConversion"/>
  </si>
  <si>
    <t>单位</t>
    <phoneticPr fontId="3" type="noConversion"/>
  </si>
  <si>
    <t>线</t>
    <phoneticPr fontId="3" type="noConversion"/>
  </si>
  <si>
    <t>套</t>
    <phoneticPr fontId="3" type="noConversion"/>
  </si>
  <si>
    <t>润网</t>
    <phoneticPr fontId="3" type="noConversion"/>
  </si>
  <si>
    <t>三汇</t>
    <phoneticPr fontId="3" type="noConversion"/>
  </si>
  <si>
    <t>迅时</t>
    <phoneticPr fontId="3" type="noConversion"/>
  </si>
  <si>
    <t>亿联</t>
    <phoneticPr fontId="3" type="noConversion"/>
  </si>
  <si>
    <t>SD-WAN</t>
    <phoneticPr fontId="3" type="noConversion"/>
  </si>
  <si>
    <t>电信</t>
    <phoneticPr fontId="3" type="noConversion"/>
  </si>
  <si>
    <t>ISP</t>
    <phoneticPr fontId="3" type="noConversion"/>
  </si>
  <si>
    <t>提供安全、稳定、优化的海外访问体验
提供配套的硬件设备、网络监控、月度报表服务
灵活优化带宽服务</t>
    <phoneticPr fontId="3" type="noConversion"/>
  </si>
  <si>
    <t>包含1-13个可用IP地址，最多可申请61个可用IP地址</t>
    <phoneticPr fontId="3" type="noConversion"/>
  </si>
  <si>
    <t>年</t>
    <phoneticPr fontId="3" type="noConversion"/>
  </si>
  <si>
    <t>月</t>
    <phoneticPr fontId="3" type="noConversion"/>
  </si>
  <si>
    <t>2年</t>
    <phoneticPr fontId="3" type="noConversion"/>
  </si>
  <si>
    <t>年付，4M/50M</t>
  </si>
  <si>
    <t>月付，初装费</t>
  </si>
  <si>
    <t>年付，初装费</t>
  </si>
  <si>
    <t>2年付，初装费</t>
  </si>
  <si>
    <t>月付，4M/100M</t>
  </si>
  <si>
    <t>年付，4M/100M</t>
  </si>
  <si>
    <t>月付，20M/200M</t>
  </si>
  <si>
    <t>年付，20M/200M</t>
  </si>
  <si>
    <t>2年付，20M/200M</t>
  </si>
  <si>
    <t>月付，100M/500M</t>
  </si>
  <si>
    <t>年付，100M/500M</t>
  </si>
  <si>
    <t>2年付，100M/500M</t>
  </si>
  <si>
    <t>月付，200M/500M</t>
  </si>
  <si>
    <t>年付，200M/500M</t>
  </si>
  <si>
    <t>2年付，200M/500M</t>
  </si>
  <si>
    <t>月付，50M/50M</t>
  </si>
  <si>
    <t>年付，50M/50M</t>
  </si>
  <si>
    <t>月付，100M/100M</t>
  </si>
  <si>
    <t>年付，100M/100M</t>
  </si>
  <si>
    <t>月付，200M/200M</t>
  </si>
  <si>
    <t>年付，200M/200M</t>
  </si>
  <si>
    <t>月付，300M/300M</t>
  </si>
  <si>
    <t>年付，300M/300M</t>
  </si>
  <si>
    <t>月付，500M/500M</t>
  </si>
  <si>
    <t>年付，500M/500M</t>
  </si>
  <si>
    <t>月付，1G/1G</t>
  </si>
  <si>
    <t>月付，13个IPv4</t>
  </si>
  <si>
    <t>年付，13个IPv4</t>
  </si>
  <si>
    <t>有资源，初装费</t>
  </si>
  <si>
    <t>无资源，初装费</t>
  </si>
  <si>
    <t>月付，10M/10M</t>
  </si>
  <si>
    <t>月付，20M/20M</t>
  </si>
  <si>
    <t>月付，30M/30M</t>
  </si>
  <si>
    <t>月付，40M/40M</t>
  </si>
  <si>
    <t>月付，45M/45M</t>
  </si>
  <si>
    <t>月付，60M/60M</t>
  </si>
  <si>
    <t>月付，70M/70M</t>
  </si>
  <si>
    <t>月付，80M/80M</t>
  </si>
  <si>
    <t>月付，90M/90M</t>
  </si>
  <si>
    <t>月付，150M/150M</t>
  </si>
  <si>
    <t>月付，250M/250M</t>
  </si>
  <si>
    <t>月付，300M300M</t>
  </si>
  <si>
    <t>月付，500M/600M</t>
  </si>
  <si>
    <t>月付，600M/600M</t>
  </si>
  <si>
    <t>月付，800M/800M</t>
  </si>
  <si>
    <t>月付，2G/2G</t>
  </si>
  <si>
    <t>月付，2.5G/2.5G</t>
  </si>
  <si>
    <t>月付，10G/10G</t>
  </si>
  <si>
    <t>月付，20G/20G</t>
  </si>
  <si>
    <t>月付，10M/50M</t>
  </si>
  <si>
    <t>年付，10M/50M</t>
  </si>
  <si>
    <t>月付，20M/100M</t>
  </si>
  <si>
    <t>年付，20M/100M</t>
  </si>
  <si>
    <t>月付，40M/200M</t>
  </si>
  <si>
    <t>年付，40M/200M</t>
  </si>
  <si>
    <t>年付，1G/1G</t>
  </si>
  <si>
    <t>年付，60M/60M</t>
  </si>
  <si>
    <t>年付，800M/800M</t>
  </si>
  <si>
    <t>年付，20M</t>
  </si>
  <si>
    <t>年付，10M</t>
    <phoneticPr fontId="3" type="noConversion"/>
  </si>
  <si>
    <t>年付，20M</t>
    <phoneticPr fontId="3" type="noConversion"/>
  </si>
  <si>
    <t>年付，30M</t>
    <phoneticPr fontId="3" type="noConversion"/>
  </si>
  <si>
    <t>年付，40M</t>
    <phoneticPr fontId="3" type="noConversion"/>
  </si>
  <si>
    <t>年付，50M</t>
    <phoneticPr fontId="3" type="noConversion"/>
  </si>
  <si>
    <t>应用加速</t>
    <phoneticPr fontId="3" type="noConversion"/>
  </si>
  <si>
    <t>年付，2M</t>
  </si>
  <si>
    <t>年付，10M</t>
  </si>
  <si>
    <t>年付，30M</t>
  </si>
  <si>
    <t>单价
（元/月）</t>
    <phoneticPr fontId="3" type="noConversion"/>
  </si>
  <si>
    <t>销售价
（元/年）</t>
    <phoneticPr fontId="3" type="noConversion"/>
  </si>
  <si>
    <t>Office365</t>
    <phoneticPr fontId="3" type="noConversion"/>
  </si>
  <si>
    <t>Microsoft Intune 是一项基于云的服务，关注移动设备管理 (MDM) 和移动应用程序管理 (MAM)。 可以控制如何使用组织的设备，包括移动电话、平板电脑和笔记本电脑。 还可以配置特定策略来控制应用程序。 例如，可以阻止电子邮件发送给组织外部人员。 Intune 还可便于组织中的人员在学校或工作中使用个人设备。 在个人设备上，Intune 有助于确保组织数据始终受到保护，并能将组织数据与个人数据隔离开来。</t>
    <phoneticPr fontId="3" type="noConversion"/>
  </si>
  <si>
    <t>在 Intune 中，使用适合你的方法来管理设备。 对于组织拥有的设备，你可能希望完全控制设备，包括设置、功能和安全性。 在此方法中，设备和这些设备的用户在 Intune 中“注册”。 注册后，他们通过 Intune 中配置的策略接收规则和设置。 例如，可以设置密码和 PIN 要求，创建 VPN 连接，设置威胁防护等。</t>
    <phoneticPr fontId="3" type="noConversion"/>
  </si>
  <si>
    <t>Azure Information Protection Premium P1</t>
    <phoneticPr fontId="3" type="noConversion"/>
  </si>
  <si>
    <t>Enterprise Mobility + Security E3</t>
    <phoneticPr fontId="3" type="noConversion"/>
  </si>
  <si>
    <t>年付</t>
    <phoneticPr fontId="3" type="noConversion"/>
  </si>
  <si>
    <t>Azure 信息保护 (AIP) 是一种基于云的解决方案，可帮助组织通过将标签应用到内容来对文档和电子邮件进行发现、分类和保护。
AIP 是 Microsoft 信息保护 (MIP) 解决方案的一部分，它扩展了 Microsoft 365 提供的标记和分类功能。</t>
    <phoneticPr fontId="3" type="noConversion"/>
  </si>
  <si>
    <t>企业移动性 + 安全性 E3 包括了 Azure Active Directory Premium P1、Microsoft Intune、Azure Information Protection P1、Microsoft Advanced Threat Analytics、Azure Rights Management（Azure 信息保护的一部分）和 Windows Server CAL 权利。</t>
    <phoneticPr fontId="3" type="noConversion"/>
  </si>
  <si>
    <t>互联网公寓-D</t>
    <phoneticPr fontId="3" type="noConversion"/>
  </si>
  <si>
    <t>互联网经济-D</t>
    <phoneticPr fontId="3" type="noConversion"/>
  </si>
  <si>
    <t>互联网尊享-D</t>
    <phoneticPr fontId="3" type="noConversion"/>
  </si>
  <si>
    <t>国内精品互联网-D</t>
    <phoneticPr fontId="3" type="noConversion"/>
  </si>
  <si>
    <t>国际精品互联网-D</t>
    <phoneticPr fontId="3" type="noConversion"/>
  </si>
  <si>
    <t>互联网经济-L</t>
    <phoneticPr fontId="3" type="noConversion"/>
  </si>
  <si>
    <t>互联网尊享-L</t>
    <phoneticPr fontId="3" type="noConversion"/>
  </si>
  <si>
    <t>国内精品互联网-L</t>
    <phoneticPr fontId="3" type="noConversion"/>
  </si>
  <si>
    <t>国际精品互联网-L</t>
    <phoneticPr fontId="3" type="noConversion"/>
  </si>
  <si>
    <t>润网</t>
    <phoneticPr fontId="3" type="noConversion"/>
  </si>
  <si>
    <t>国际路由优化</t>
    <phoneticPr fontId="3" type="noConversion"/>
  </si>
  <si>
    <t>应用加速</t>
    <phoneticPr fontId="3" type="noConversion"/>
  </si>
  <si>
    <t>月付，10M</t>
  </si>
  <si>
    <t>月付，20M</t>
  </si>
  <si>
    <t>月付，50M</t>
  </si>
  <si>
    <t>月付，100M</t>
  </si>
  <si>
    <t>视频会议</t>
    <phoneticPr fontId="3" type="noConversion"/>
  </si>
  <si>
    <t>Zoom</t>
    <phoneticPr fontId="3" type="noConversion"/>
  </si>
  <si>
    <t>云视频会议</t>
    <phoneticPr fontId="3" type="noConversion"/>
  </si>
  <si>
    <t>年付，100方</t>
    <phoneticPr fontId="3" type="noConversion"/>
  </si>
  <si>
    <t>年付，300方</t>
    <phoneticPr fontId="3" type="noConversion"/>
  </si>
  <si>
    <t>年付，500方</t>
    <phoneticPr fontId="3" type="noConversion"/>
  </si>
  <si>
    <t>年付，1000方</t>
    <phoneticPr fontId="3" type="noConversion"/>
  </si>
  <si>
    <t>10个账号起售</t>
    <phoneticPr fontId="3" type="noConversion"/>
  </si>
  <si>
    <t>备注</t>
    <phoneticPr fontId="3" type="noConversion"/>
  </si>
  <si>
    <t>单节点组网优化带宽</t>
    <phoneticPr fontId="3" type="noConversion"/>
  </si>
  <si>
    <t>年付，50M</t>
  </si>
  <si>
    <t>年付，100M</t>
  </si>
  <si>
    <t>年付，40M</t>
  </si>
  <si>
    <t>授权折扣</t>
    <phoneticPr fontId="3" type="noConversion"/>
  </si>
  <si>
    <t>ICT签约：8折</t>
    <phoneticPr fontId="3" type="noConversion"/>
  </si>
  <si>
    <t>直签：7折</t>
    <phoneticPr fontId="3" type="noConversion"/>
  </si>
  <si>
    <t>年付，200M</t>
  </si>
  <si>
    <t>年付，300M</t>
  </si>
  <si>
    <t>年付，500M</t>
  </si>
  <si>
    <t>年付，4M</t>
  </si>
  <si>
    <t>年付，6M</t>
  </si>
  <si>
    <t>年付，8M</t>
  </si>
  <si>
    <t>年</t>
    <phoneticPr fontId="3" type="noConversion"/>
  </si>
  <si>
    <t>月付，2M</t>
  </si>
  <si>
    <t>月付，4M</t>
  </si>
  <si>
    <t>月付，6M</t>
  </si>
  <si>
    <t>月付，8M</t>
  </si>
  <si>
    <t>月</t>
    <phoneticPr fontId="3" type="noConversion"/>
  </si>
  <si>
    <t>月付，30M</t>
  </si>
  <si>
    <t>月付，40M</t>
  </si>
  <si>
    <t>月付，200M</t>
  </si>
  <si>
    <t>月付，300M</t>
  </si>
  <si>
    <t>月付，500M</t>
  </si>
  <si>
    <t>授权折扣：</t>
    <phoneticPr fontId="3" type="noConversion"/>
  </si>
  <si>
    <t>年付95折</t>
    <phoneticPr fontId="3" type="noConversion"/>
  </si>
  <si>
    <t>台</t>
    <phoneticPr fontId="3" type="noConversion"/>
  </si>
  <si>
    <t>2口FXS,桌面式，支持SIP协议，接POS、传真</t>
    <phoneticPr fontId="3" type="noConversion"/>
  </si>
  <si>
    <t>4口FXS,桌面式，支持SIP协议，接POS、传真</t>
    <phoneticPr fontId="3" type="noConversion"/>
  </si>
  <si>
    <t>8口FXS,桌面式，支持SIP协议，接POS、传真</t>
    <phoneticPr fontId="3" type="noConversion"/>
  </si>
  <si>
    <t>16口FXS,1U高19英寸机架式，支持SIP协议，接POS、传真</t>
    <phoneticPr fontId="3" type="noConversion"/>
  </si>
  <si>
    <t>32口FXS,1U 19英寸标准机箱，32路并发，支持SIP协议，接POS、传真</t>
    <phoneticPr fontId="3" type="noConversion"/>
  </si>
  <si>
    <t>48口FXS,1U 19英寸标准机箱，48路并发，支持SIP协议，接POS、传真</t>
    <phoneticPr fontId="3" type="noConversion"/>
  </si>
  <si>
    <t>鼎信</t>
    <phoneticPr fontId="3" type="noConversion"/>
  </si>
  <si>
    <t>72口FXS,1U 19英寸标准机箱，72路并发，支持SIP协议，接POS、传真</t>
    <phoneticPr fontId="3" type="noConversion"/>
  </si>
  <si>
    <t xml:space="preserve"> 2个RJ-45 10/100M以太网口。
1个SIP账号，支持两路同时通话132 x 64图形液晶屏，有4个可编程按键
不支持POE,带电源适配器</t>
    <phoneticPr fontId="3" type="noConversion"/>
  </si>
  <si>
    <t>飞音</t>
    <phoneticPr fontId="3" type="noConversion"/>
  </si>
  <si>
    <t>1、128x64液晶屏，带背光
2、2.4G无线接入
3、支持POE（可选型号是FIP10P）
4、百兆网口
5、RJ9耳机接口
6、支持2个SIP线路</t>
    <phoneticPr fontId="3" type="noConversion"/>
  </si>
  <si>
    <t>销售价</t>
    <phoneticPr fontId="3" type="noConversion"/>
  </si>
  <si>
    <t>调试费</t>
    <phoneticPr fontId="3" type="noConversion"/>
  </si>
  <si>
    <t>描述</t>
    <phoneticPr fontId="3" type="noConversion"/>
  </si>
  <si>
    <t>最低销售价</t>
    <phoneticPr fontId="3" type="noConversion"/>
  </si>
  <si>
    <t>型号</t>
    <phoneticPr fontId="3" type="noConversion"/>
  </si>
  <si>
    <t>HX402G</t>
    <phoneticPr fontId="3" type="noConversion"/>
  </si>
  <si>
    <t>HX404G</t>
    <phoneticPr fontId="3" type="noConversion"/>
  </si>
  <si>
    <t>MX8G-8S</t>
    <phoneticPr fontId="3" type="noConversion"/>
  </si>
  <si>
    <t>MX60E-16S</t>
    <phoneticPr fontId="3" type="noConversion"/>
  </si>
  <si>
    <t>MX60E-32S</t>
    <phoneticPr fontId="3" type="noConversion"/>
  </si>
  <si>
    <t>MX60E-48S</t>
  </si>
  <si>
    <t>SMG1000-D4S</t>
    <phoneticPr fontId="3" type="noConversion"/>
  </si>
  <si>
    <t>SMG1008D-8S</t>
    <phoneticPr fontId="3" type="noConversion"/>
  </si>
  <si>
    <t>SMG1016D-16S</t>
    <phoneticPr fontId="3" type="noConversion"/>
  </si>
  <si>
    <t>SMG1032D-32S</t>
    <phoneticPr fontId="3" type="noConversion"/>
  </si>
  <si>
    <t>DAG1000-2S</t>
    <phoneticPr fontId="3" type="noConversion"/>
  </si>
  <si>
    <t>DAG2000-32S</t>
  </si>
  <si>
    <t>DAG2500-48S</t>
    <phoneticPr fontId="3" type="noConversion"/>
  </si>
  <si>
    <t>DAG2500-72S</t>
  </si>
  <si>
    <t>SIP-T19 E2</t>
  </si>
  <si>
    <t>FIP10</t>
    <phoneticPr fontId="3" type="noConversion"/>
  </si>
  <si>
    <t>商云通IP话机</t>
    <phoneticPr fontId="3" type="noConversion"/>
  </si>
  <si>
    <t>商云通2口语音网关</t>
    <phoneticPr fontId="3" type="noConversion"/>
  </si>
  <si>
    <t>商云通4口语音网关</t>
    <phoneticPr fontId="3" type="noConversion"/>
  </si>
  <si>
    <t>商云通8口语音网关</t>
    <phoneticPr fontId="3" type="noConversion"/>
  </si>
  <si>
    <r>
      <rPr>
        <sz val="10"/>
        <rFont val="等线"/>
        <family val="3"/>
        <charset val="134"/>
        <scheme val="minor"/>
      </rPr>
      <t>商云通16口</t>
    </r>
    <r>
      <rPr>
        <sz val="10"/>
        <rFont val="等线"/>
        <family val="3"/>
        <scheme val="minor"/>
      </rPr>
      <t>语音网关</t>
    </r>
    <phoneticPr fontId="3" type="noConversion"/>
  </si>
  <si>
    <t>商云通32口语音网关</t>
    <phoneticPr fontId="3" type="noConversion"/>
  </si>
  <si>
    <t>商云通48口语音网关</t>
    <phoneticPr fontId="3" type="noConversion"/>
  </si>
  <si>
    <t>商云通16口语音网关</t>
    <phoneticPr fontId="3" type="noConversion"/>
  </si>
  <si>
    <r>
      <rPr>
        <sz val="10"/>
        <rFont val="等线"/>
        <family val="3"/>
        <charset val="134"/>
        <scheme val="minor"/>
      </rPr>
      <t>商云通32口</t>
    </r>
    <r>
      <rPr>
        <sz val="10"/>
        <rFont val="等线"/>
        <family val="3"/>
        <scheme val="minor"/>
      </rPr>
      <t>语音网关</t>
    </r>
    <phoneticPr fontId="3" type="noConversion"/>
  </si>
  <si>
    <t>商云通72口语音网关</t>
    <phoneticPr fontId="3" type="noConversion"/>
  </si>
  <si>
    <t>耳麦</t>
    <phoneticPr fontId="3" type="noConversion"/>
  </si>
  <si>
    <t>大唐</t>
    <phoneticPr fontId="3" type="noConversion"/>
  </si>
  <si>
    <t>IP话机</t>
    <phoneticPr fontId="3" type="noConversion"/>
  </si>
  <si>
    <t>阿尔卡特朗讯</t>
    <phoneticPr fontId="3" type="noConversion"/>
  </si>
  <si>
    <t>亿联</t>
    <phoneticPr fontId="3" type="noConversion"/>
  </si>
  <si>
    <t>迅时</t>
    <phoneticPr fontId="3" type="noConversion"/>
  </si>
  <si>
    <t>飞音</t>
    <phoneticPr fontId="3" type="noConversion"/>
  </si>
  <si>
    <t>模拟话机</t>
    <phoneticPr fontId="3" type="noConversion"/>
  </si>
  <si>
    <t>晨光</t>
    <phoneticPr fontId="3" type="noConversion"/>
  </si>
  <si>
    <t>摩托罗拉</t>
    <phoneticPr fontId="3" type="noConversion"/>
  </si>
  <si>
    <t>数字话机</t>
    <phoneticPr fontId="3" type="noConversion"/>
  </si>
  <si>
    <t>NEC</t>
    <phoneticPr fontId="3" type="noConversion"/>
  </si>
  <si>
    <t>松下</t>
    <phoneticPr fontId="3" type="noConversion"/>
  </si>
  <si>
    <t>语音网关</t>
    <phoneticPr fontId="3" type="noConversion"/>
  </si>
  <si>
    <t>三汇</t>
    <phoneticPr fontId="3" type="noConversion"/>
  </si>
  <si>
    <t>鼎信</t>
    <phoneticPr fontId="3" type="noConversion"/>
  </si>
  <si>
    <t>语音交换机</t>
    <phoneticPr fontId="3" type="noConversion"/>
  </si>
  <si>
    <t>国威</t>
    <phoneticPr fontId="3" type="noConversion"/>
  </si>
  <si>
    <t>朗竟</t>
    <phoneticPr fontId="3" type="noConversion"/>
  </si>
  <si>
    <t>申瓯</t>
    <phoneticPr fontId="3" type="noConversion"/>
  </si>
  <si>
    <t>电话会议</t>
    <phoneticPr fontId="3" type="noConversion"/>
  </si>
  <si>
    <t>呼叫中心</t>
    <phoneticPr fontId="3" type="noConversion"/>
  </si>
  <si>
    <t>九霄</t>
    <phoneticPr fontId="3" type="noConversion"/>
  </si>
  <si>
    <t>语音话务员</t>
    <phoneticPr fontId="3" type="noConversion"/>
  </si>
  <si>
    <t>优伦</t>
    <phoneticPr fontId="3" type="noConversion"/>
  </si>
  <si>
    <t>手机</t>
    <phoneticPr fontId="3" type="noConversion"/>
  </si>
  <si>
    <t>vivo</t>
    <phoneticPr fontId="3" type="noConversion"/>
  </si>
  <si>
    <t>网络交换机</t>
    <phoneticPr fontId="3" type="noConversion"/>
  </si>
  <si>
    <t>TP-LINK</t>
    <phoneticPr fontId="3" type="noConversion"/>
  </si>
  <si>
    <t>华为</t>
    <phoneticPr fontId="3" type="noConversion"/>
  </si>
  <si>
    <t>华三</t>
    <phoneticPr fontId="3" type="noConversion"/>
  </si>
  <si>
    <t>Cisco</t>
    <phoneticPr fontId="3" type="noConversion"/>
  </si>
  <si>
    <t>海康威视</t>
    <phoneticPr fontId="3" type="noConversion"/>
  </si>
  <si>
    <t>路由器</t>
    <phoneticPr fontId="3" type="noConversion"/>
  </si>
  <si>
    <t>MikroTik</t>
    <phoneticPr fontId="3" type="noConversion"/>
  </si>
  <si>
    <t>防火墙</t>
    <phoneticPr fontId="3" type="noConversion"/>
  </si>
  <si>
    <t>无线局域网</t>
    <phoneticPr fontId="3" type="noConversion"/>
  </si>
  <si>
    <t>热成像</t>
    <phoneticPr fontId="3" type="noConversion"/>
  </si>
  <si>
    <t>监控设备</t>
    <phoneticPr fontId="3" type="noConversion"/>
  </si>
  <si>
    <t>电脑</t>
    <phoneticPr fontId="3" type="noConversion"/>
  </si>
  <si>
    <t>无</t>
    <phoneticPr fontId="3" type="noConversion"/>
  </si>
  <si>
    <t>服务器</t>
    <phoneticPr fontId="3" type="noConversion"/>
  </si>
  <si>
    <t>DELL</t>
    <phoneticPr fontId="3" type="noConversion"/>
  </si>
  <si>
    <t>门禁</t>
    <phoneticPr fontId="3" type="noConversion"/>
  </si>
  <si>
    <t>TOMWELL</t>
    <phoneticPr fontId="3" type="noConversion"/>
  </si>
  <si>
    <t>存储产品</t>
    <phoneticPr fontId="3" type="noConversion"/>
  </si>
  <si>
    <t>金士顿</t>
    <phoneticPr fontId="3" type="noConversion"/>
  </si>
  <si>
    <t>群晖</t>
    <phoneticPr fontId="3" type="noConversion"/>
  </si>
  <si>
    <t>希捷</t>
    <phoneticPr fontId="3" type="noConversion"/>
  </si>
  <si>
    <t>西部数据</t>
    <phoneticPr fontId="3" type="noConversion"/>
  </si>
  <si>
    <t>Azure</t>
    <phoneticPr fontId="3" type="noConversion"/>
  </si>
  <si>
    <t>微软</t>
    <phoneticPr fontId="3" type="noConversion"/>
  </si>
  <si>
    <t>Office365</t>
    <phoneticPr fontId="3" type="noConversion"/>
  </si>
  <si>
    <t>辅料</t>
    <phoneticPr fontId="3" type="noConversion"/>
  </si>
  <si>
    <t>康普</t>
    <phoneticPr fontId="3" type="noConversion"/>
  </si>
  <si>
    <t>康沐</t>
    <phoneticPr fontId="3" type="noConversion"/>
  </si>
  <si>
    <t>3M</t>
    <phoneticPr fontId="3" type="noConversion"/>
  </si>
  <si>
    <t>山泽</t>
    <phoneticPr fontId="3" type="noConversion"/>
  </si>
  <si>
    <t>胜为</t>
    <phoneticPr fontId="3" type="noConversion"/>
  </si>
  <si>
    <t>百纳腾</t>
    <phoneticPr fontId="3" type="noConversion"/>
  </si>
  <si>
    <t>MAXLINK</t>
    <phoneticPr fontId="3" type="noConversion"/>
  </si>
  <si>
    <t>拨云</t>
    <phoneticPr fontId="3" type="noConversion"/>
  </si>
  <si>
    <t>ISP</t>
    <phoneticPr fontId="3" type="noConversion"/>
  </si>
  <si>
    <t>润网</t>
    <phoneticPr fontId="3" type="noConversion"/>
  </si>
  <si>
    <t>SD-WAN</t>
    <phoneticPr fontId="3" type="noConversion"/>
  </si>
  <si>
    <t>国际路由优化</t>
    <phoneticPr fontId="3" type="noConversion"/>
  </si>
  <si>
    <t>400预付费</t>
    <phoneticPr fontId="3" type="noConversion"/>
  </si>
  <si>
    <t>尚景</t>
    <phoneticPr fontId="3" type="noConversion"/>
  </si>
  <si>
    <t>邮箱</t>
    <phoneticPr fontId="3" type="noConversion"/>
  </si>
  <si>
    <t>新网互联</t>
    <phoneticPr fontId="3" type="noConversion"/>
  </si>
  <si>
    <t>域名</t>
    <phoneticPr fontId="3" type="noConversion"/>
  </si>
  <si>
    <t>虚拟主机</t>
    <phoneticPr fontId="3" type="noConversion"/>
  </si>
  <si>
    <t>微信营销</t>
    <phoneticPr fontId="3" type="noConversion"/>
  </si>
  <si>
    <t>点点客</t>
    <phoneticPr fontId="3" type="noConversion"/>
  </si>
  <si>
    <t>管理系统</t>
    <phoneticPr fontId="3" type="noConversion"/>
  </si>
  <si>
    <t>创旗</t>
    <phoneticPr fontId="3" type="noConversion"/>
  </si>
  <si>
    <t>视频会议</t>
    <phoneticPr fontId="3" type="noConversion"/>
  </si>
  <si>
    <t>Zoom</t>
    <phoneticPr fontId="3" type="noConversion"/>
  </si>
  <si>
    <t>互联网专线</t>
    <phoneticPr fontId="3" type="noConversion"/>
  </si>
  <si>
    <t>年付，100M/100M</t>
    <phoneticPr fontId="3" type="noConversion"/>
  </si>
  <si>
    <t>年</t>
    <phoneticPr fontId="3" type="noConversion"/>
  </si>
  <si>
    <t>包含1个可用IP地址</t>
    <phoneticPr fontId="3" type="noConversion"/>
  </si>
  <si>
    <t>联通</t>
    <phoneticPr fontId="3" type="noConversion"/>
  </si>
  <si>
    <t>Microsoft 365 商业应用版</t>
    <phoneticPr fontId="3" type="noConversion"/>
  </si>
  <si>
    <t>Microsoft 365 商业基础版</t>
    <phoneticPr fontId="3" type="noConversion"/>
  </si>
  <si>
    <t>Microsoft 365 商业标准版</t>
    <phoneticPr fontId="3" type="noConversion"/>
  </si>
  <si>
    <t>Microsoft 365 企业应用版</t>
    <phoneticPr fontId="3" type="noConversion"/>
  </si>
  <si>
    <t>Microsoft Intune基于用户</t>
    <phoneticPr fontId="3" type="noConversion"/>
  </si>
  <si>
    <t>Microsoft Intune Device基于设备</t>
    <phoneticPr fontId="3" type="noConversion"/>
  </si>
  <si>
    <t>Office 2019 小型企业版</t>
    <phoneticPr fontId="3" type="noConversion"/>
  </si>
  <si>
    <t>套</t>
    <phoneticPr fontId="3" type="noConversion"/>
  </si>
  <si>
    <t>Microsoft365商业标准版（国际版）</t>
    <phoneticPr fontId="3" type="noConversion"/>
  </si>
  <si>
    <t>年付</t>
    <phoneticPr fontId="3" type="noConversion"/>
  </si>
  <si>
    <t>/</t>
    <phoneticPr fontId="3" type="noConversion"/>
  </si>
  <si>
    <t>最多买300个，是一个大套包，包括Office套件、邮件计划1、Skype企业音视频会议计划2和Sharepoint文件服务器计划1，等于商业应用版+商业基础版。</t>
    <phoneticPr fontId="3" type="noConversion"/>
  </si>
  <si>
    <t>最多买300个，是一个标准版的Office客户端，产品里面只有Office，不包含邮件、音视频系统和文档服务器。</t>
    <phoneticPr fontId="3" type="noConversion"/>
  </si>
  <si>
    <t>最多买300个，是一个大套包，包括Office套件、Outlook Customer Manager、Bookings、Exchange Online Plan1、Skype for business、Teams、Sharepoint Online、Onedrive for Business</t>
    <phoneticPr fontId="3" type="noConversion"/>
  </si>
  <si>
    <t>单机授权提供一台设备使用，包含word、excel、PowerPoint、Outlook和OneNote应用，授权家用及商业使用</t>
    <phoneticPr fontId="3" type="noConversion"/>
  </si>
  <si>
    <t>1台PC/Mac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</si>
</sst>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0" formatCode="_ [$¥-804]* #,##0.00_ ;_ [$¥-804]* \-#,##0.00_ ;_ [$¥-804]* &quot;-&quot;??_ ;_ @_ "/>
    <numFmt numFmtId="177" formatCode="&quot;¥&quot;#,##0.00_);[Red]\(&quot;¥&quot;#,##0.00\)"/>
    <numFmt numFmtId="178" formatCode="m/d/yyyy"/>
    <numFmt numFmtId="179" formatCode="&quot;¥&quot;#,##0_);[Red]\(&quot;¥&quot;#,##0\)"/>
  </numFmts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scheme val="minor"/>
    </font>
    <font>
      <sz val="10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等线"/>
      <family val="2"/>
      <scheme val="minor"/>
    </font>
    <font>
      <sz val="10"/>
      <name val="Arial"/>
      <family val="2"/>
    </font>
    <font>
      <sz val="10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0"/>
      <name val="等线"/>
      <family val="2"/>
      <scheme val="minor"/>
    </font>
    <font>
      <sz val="10"/>
      <color rgb="FFFF0000"/>
      <name val="等线"/>
      <family val="2"/>
      <scheme val="minor"/>
    </font>
    <font>
      <sz val="10"/>
      <name val="等线"/>
      <family val="3"/>
      <scheme val="minor"/>
    </font>
    <font>
      <sz val="10"/>
      <color theme="1"/>
      <name val="等线"/>
      <family val="3"/>
      <charset val="134"/>
      <scheme val="minor"/>
    </font>
    <font>
      <u/>
      <sz val="11"/>
      <color theme="10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name val="微软雅黑"/>
      <family val="2"/>
      <charset val="134"/>
    </font>
    <font>
      <b/>
      <sz val="10"/>
      <color theme="0"/>
      <name val="等线"/>
      <family val="2"/>
      <scheme val="minor"/>
    </font>
    <font>
      <sz val="10"/>
      <color theme="1" tint="4.9989318521683403E-2"/>
      <name val="等线"/>
      <family val="2"/>
      <scheme val="minor"/>
    </font>
    <font>
      <b/>
      <sz val="11"/>
      <color theme="1" tint="4.9989318521683403E-2"/>
      <name val="等线"/>
      <family val="3"/>
      <charset val="134"/>
      <scheme val="minor"/>
    </font>
    <font>
      <sz val="11"/>
      <color theme="1" tint="4.9989318521683403E-2"/>
      <name val="等线"/>
      <family val="3"/>
      <charset val="134"/>
      <scheme val="minor"/>
    </font>
    <font>
      <sz val="11"/>
      <color theme="1" tint="4.9989318521683403E-2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>
      <alignment vertical="center"/>
    </xf>
    <xf numFmtId="0" fontId="5" fillId="0" borderId="0"/>
    <xf numFmtId="0" fontId="1" fillId="0" borderId="0"/>
    <xf numFmtId="0" fontId="12" fillId="0" borderId="0" applyNumberFormat="0" applyFill="0" applyBorder="0" applyAlignment="0" applyProtection="0">
      <alignment vertical="center"/>
    </xf>
  </cellStyleXfs>
  <cellXfs count="137">
    <xf numFmtId="0" fontId="0" fillId="0" borderId="0" xfId="0">
      <alignment vertical="center"/>
    </xf>
    <xf numFmtId="0" fontId="4" fillId="0" borderId="0" xfId="2" applyFont="1" applyAlignment="1">
      <alignment vertical="center"/>
    </xf>
    <xf numFmtId="0" fontId="4" fillId="0" borderId="0" xfId="2" applyFont="1" applyAlignment="1">
      <alignment horizontal="left" vertical="center" wrapText="1"/>
    </xf>
    <xf numFmtId="177" fontId="4" fillId="0" borderId="0" xfId="2" applyNumberFormat="1" applyFont="1" applyAlignment="1">
      <alignment vertical="center"/>
    </xf>
    <xf numFmtId="0" fontId="4" fillId="0" borderId="0" xfId="2" applyNumberFormat="1" applyFont="1" applyAlignment="1">
      <alignment vertical="center"/>
    </xf>
    <xf numFmtId="14" fontId="2" fillId="0" borderId="0" xfId="2" applyNumberFormat="1" applyFont="1" applyAlignment="1">
      <alignment vertical="center"/>
    </xf>
    <xf numFmtId="177" fontId="4" fillId="0" borderId="0" xfId="2" applyNumberFormat="1" applyFont="1" applyAlignment="1">
      <alignment horizontal="right" vertical="center"/>
    </xf>
    <xf numFmtId="0" fontId="2" fillId="0" borderId="0" xfId="2" applyFont="1" applyAlignment="1">
      <alignment vertical="center"/>
    </xf>
    <xf numFmtId="0" fontId="4" fillId="2" borderId="0" xfId="2" applyFont="1" applyFill="1" applyAlignment="1">
      <alignment vertical="center"/>
    </xf>
    <xf numFmtId="4" fontId="6" fillId="0" borderId="0" xfId="1" applyNumberFormat="1" applyFont="1" applyAlignment="1">
      <alignment horizontal="left" vertical="center" wrapText="1"/>
    </xf>
    <xf numFmtId="0" fontId="4" fillId="0" borderId="0" xfId="2" applyFont="1" applyAlignment="1">
      <alignment horizontal="center" vertical="center"/>
    </xf>
    <xf numFmtId="0" fontId="8" fillId="0" borderId="0" xfId="1" applyFont="1" applyAlignment="1">
      <alignment horizontal="center" vertical="center" wrapText="1"/>
    </xf>
    <xf numFmtId="14" fontId="4" fillId="0" borderId="0" xfId="2" applyNumberFormat="1" applyFont="1" applyAlignment="1">
      <alignment horizontal="center" vertical="center"/>
    </xf>
    <xf numFmtId="177" fontId="4" fillId="0" borderId="0" xfId="2" applyNumberFormat="1" applyFont="1" applyAlignment="1">
      <alignment horizontal="center" vertical="center" wrapText="1"/>
    </xf>
    <xf numFmtId="14" fontId="2" fillId="0" borderId="0" xfId="2" applyNumberFormat="1" applyFont="1" applyAlignment="1">
      <alignment horizontal="center" vertical="center"/>
    </xf>
    <xf numFmtId="0" fontId="4" fillId="0" borderId="0" xfId="2" applyFont="1" applyAlignment="1">
      <alignment horizontal="left" vertical="center"/>
    </xf>
    <xf numFmtId="178" fontId="2" fillId="0" borderId="0" xfId="2" applyNumberFormat="1" applyFont="1" applyAlignment="1">
      <alignment vertical="center"/>
    </xf>
    <xf numFmtId="14" fontId="2" fillId="0" borderId="0" xfId="2" applyNumberFormat="1" applyFont="1" applyFill="1" applyAlignment="1">
      <alignment vertical="center"/>
    </xf>
    <xf numFmtId="14" fontId="10" fillId="0" borderId="0" xfId="2" applyNumberFormat="1" applyFont="1" applyFill="1" applyAlignment="1">
      <alignment horizontal="left" vertical="center"/>
    </xf>
    <xf numFmtId="177" fontId="4" fillId="0" borderId="0" xfId="2" applyNumberFormat="1" applyFont="1" applyFill="1" applyAlignment="1">
      <alignment vertical="center"/>
    </xf>
    <xf numFmtId="177" fontId="4" fillId="0" borderId="0" xfId="2" applyNumberFormat="1" applyFont="1" applyAlignment="1">
      <alignment horizontal="left" vertical="center" wrapText="1"/>
    </xf>
    <xf numFmtId="14" fontId="2" fillId="0" borderId="0" xfId="2" applyNumberFormat="1" applyFont="1" applyAlignment="1">
      <alignment horizontal="center" vertical="center" wrapText="1"/>
    </xf>
    <xf numFmtId="4" fontId="6" fillId="2" borderId="0" xfId="1" applyNumberFormat="1" applyFont="1" applyFill="1" applyAlignment="1">
      <alignment horizontal="left" vertical="center"/>
    </xf>
    <xf numFmtId="14" fontId="2" fillId="0" borderId="0" xfId="2" applyNumberFormat="1" applyFont="1" applyFill="1" applyAlignment="1">
      <alignment horizontal="center" vertical="center" wrapText="1"/>
    </xf>
    <xf numFmtId="0" fontId="4" fillId="0" borderId="0" xfId="2" applyFont="1" applyFill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2" fillId="0" borderId="1" xfId="3" applyBorder="1">
      <alignment vertical="center"/>
    </xf>
    <xf numFmtId="178" fontId="2" fillId="0" borderId="2" xfId="2" applyNumberFormat="1" applyFont="1" applyBorder="1" applyAlignment="1">
      <alignment horizontal="center" vertical="center"/>
    </xf>
    <xf numFmtId="14" fontId="2" fillId="0" borderId="3" xfId="2" applyNumberFormat="1" applyFont="1" applyFill="1" applyBorder="1" applyAlignment="1">
      <alignment horizontal="center" vertical="center"/>
    </xf>
    <xf numFmtId="14" fontId="2" fillId="0" borderId="3" xfId="2" applyNumberFormat="1" applyFont="1" applyFill="1" applyBorder="1" applyAlignment="1">
      <alignment horizontal="center" vertical="center" wrapText="1"/>
    </xf>
    <xf numFmtId="14" fontId="10" fillId="0" borderId="3" xfId="2" applyNumberFormat="1" applyFont="1" applyFill="1" applyBorder="1" applyAlignment="1">
      <alignment horizontal="left" vertical="center"/>
    </xf>
    <xf numFmtId="0" fontId="4" fillId="0" borderId="3" xfId="2" applyFont="1" applyFill="1" applyBorder="1" applyAlignment="1">
      <alignment horizontal="center" vertical="center"/>
    </xf>
    <xf numFmtId="177" fontId="4" fillId="0" borderId="3" xfId="2" applyNumberFormat="1" applyFont="1" applyBorder="1" applyAlignment="1">
      <alignment vertical="center"/>
    </xf>
    <xf numFmtId="0" fontId="8" fillId="0" borderId="4" xfId="1" applyFont="1" applyBorder="1" applyAlignment="1">
      <alignment horizontal="left" vertical="center" wrapText="1"/>
    </xf>
    <xf numFmtId="14" fontId="2" fillId="0" borderId="5" xfId="2" applyNumberFormat="1" applyFont="1" applyBorder="1" applyAlignment="1">
      <alignment vertical="center"/>
    </xf>
    <xf numFmtId="14" fontId="2" fillId="0" borderId="6" xfId="2" applyNumberFormat="1" applyFont="1" applyBorder="1" applyAlignment="1">
      <alignment horizontal="center" vertical="center"/>
    </xf>
    <xf numFmtId="14" fontId="2" fillId="0" borderId="6" xfId="2" applyNumberFormat="1" applyFont="1" applyBorder="1" applyAlignment="1">
      <alignment horizontal="center" vertical="center" wrapText="1"/>
    </xf>
    <xf numFmtId="0" fontId="4" fillId="0" borderId="6" xfId="2" applyFont="1" applyBorder="1" applyAlignment="1">
      <alignment vertical="center"/>
    </xf>
    <xf numFmtId="0" fontId="4" fillId="0" borderId="6" xfId="2" applyFont="1" applyBorder="1" applyAlignment="1">
      <alignment horizontal="center" vertical="center"/>
    </xf>
    <xf numFmtId="0" fontId="4" fillId="0" borderId="6" xfId="2" applyFont="1" applyFill="1" applyBorder="1" applyAlignment="1">
      <alignment horizontal="center" vertical="center"/>
    </xf>
    <xf numFmtId="177" fontId="4" fillId="0" borderId="6" xfId="2" applyNumberFormat="1" applyFont="1" applyBorder="1" applyAlignment="1">
      <alignment vertical="center"/>
    </xf>
    <xf numFmtId="4" fontId="6" fillId="0" borderId="7" xfId="1" applyNumberFormat="1" applyFont="1" applyBorder="1" applyAlignment="1">
      <alignment horizontal="left" vertical="center" wrapText="1"/>
    </xf>
    <xf numFmtId="14" fontId="2" fillId="0" borderId="8" xfId="2" applyNumberFormat="1" applyFont="1" applyBorder="1" applyAlignment="1">
      <alignment vertical="center"/>
    </xf>
    <xf numFmtId="14" fontId="2" fillId="0" borderId="0" xfId="2" applyNumberFormat="1" applyFont="1" applyBorder="1" applyAlignment="1">
      <alignment horizontal="center" vertical="center"/>
    </xf>
    <xf numFmtId="14" fontId="2" fillId="0" borderId="0" xfId="2" applyNumberFormat="1" applyFont="1" applyBorder="1" applyAlignment="1">
      <alignment horizontal="center" vertical="center" wrapText="1"/>
    </xf>
    <xf numFmtId="0" fontId="4" fillId="0" borderId="0" xfId="2" applyFont="1" applyBorder="1" applyAlignment="1">
      <alignment vertical="center"/>
    </xf>
    <xf numFmtId="0" fontId="4" fillId="0" borderId="0" xfId="2" applyFont="1" applyBorder="1" applyAlignment="1">
      <alignment horizontal="center" vertical="center"/>
    </xf>
    <xf numFmtId="0" fontId="4" fillId="0" borderId="0" xfId="2" applyFont="1" applyFill="1" applyBorder="1" applyAlignment="1">
      <alignment horizontal="center" vertical="center"/>
    </xf>
    <xf numFmtId="177" fontId="4" fillId="0" borderId="0" xfId="2" applyNumberFormat="1" applyFont="1" applyBorder="1" applyAlignment="1">
      <alignment vertical="center"/>
    </xf>
    <xf numFmtId="4" fontId="6" fillId="0" borderId="9" xfId="1" applyNumberFormat="1" applyFont="1" applyBorder="1" applyAlignment="1">
      <alignment horizontal="left" vertical="center" wrapText="1"/>
    </xf>
    <xf numFmtId="178" fontId="2" fillId="0" borderId="8" xfId="2" applyNumberFormat="1" applyFont="1" applyBorder="1" applyAlignment="1">
      <alignment vertical="center"/>
    </xf>
    <xf numFmtId="178" fontId="2" fillId="0" borderId="10" xfId="2" applyNumberFormat="1" applyFont="1" applyBorder="1" applyAlignment="1">
      <alignment vertical="center"/>
    </xf>
    <xf numFmtId="14" fontId="2" fillId="0" borderId="11" xfId="2" applyNumberFormat="1" applyFont="1" applyBorder="1" applyAlignment="1">
      <alignment horizontal="center" vertical="center"/>
    </xf>
    <xf numFmtId="14" fontId="2" fillId="0" borderId="11" xfId="2" applyNumberFormat="1" applyFont="1" applyBorder="1" applyAlignment="1">
      <alignment horizontal="center" vertical="center" wrapText="1"/>
    </xf>
    <xf numFmtId="0" fontId="4" fillId="0" borderId="11" xfId="2" applyFont="1" applyBorder="1" applyAlignment="1">
      <alignment horizontal="center" vertical="center"/>
    </xf>
    <xf numFmtId="0" fontId="4" fillId="0" borderId="11" xfId="2" applyFont="1" applyFill="1" applyBorder="1" applyAlignment="1">
      <alignment horizontal="center" vertical="center"/>
    </xf>
    <xf numFmtId="177" fontId="4" fillId="0" borderId="11" xfId="2" applyNumberFormat="1" applyFont="1" applyBorder="1" applyAlignment="1">
      <alignment vertical="center"/>
    </xf>
    <xf numFmtId="4" fontId="6" fillId="0" borderId="12" xfId="1" applyNumberFormat="1" applyFont="1" applyBorder="1" applyAlignment="1">
      <alignment horizontal="left" vertical="center" wrapText="1"/>
    </xf>
    <xf numFmtId="178" fontId="2" fillId="0" borderId="5" xfId="2" applyNumberFormat="1" applyFont="1" applyBorder="1" applyAlignment="1">
      <alignment vertical="center"/>
    </xf>
    <xf numFmtId="177" fontId="4" fillId="0" borderId="9" xfId="2" applyNumberFormat="1" applyFont="1" applyBorder="1" applyAlignment="1">
      <alignment horizontal="left" vertical="center" wrapText="1"/>
    </xf>
    <xf numFmtId="177" fontId="4" fillId="0" borderId="12" xfId="2" applyNumberFormat="1" applyFont="1" applyBorder="1" applyAlignment="1">
      <alignment horizontal="left" vertical="center" wrapText="1"/>
    </xf>
    <xf numFmtId="14" fontId="10" fillId="0" borderId="6" xfId="2" applyNumberFormat="1" applyFont="1" applyFill="1" applyBorder="1" applyAlignment="1">
      <alignment horizontal="left" vertical="center"/>
    </xf>
    <xf numFmtId="177" fontId="4" fillId="0" borderId="7" xfId="2" applyNumberFormat="1" applyFont="1" applyBorder="1" applyAlignment="1">
      <alignment horizontal="left" vertical="center" wrapText="1"/>
    </xf>
    <xf numFmtId="14" fontId="10" fillId="0" borderId="0" xfId="2" applyNumberFormat="1" applyFont="1" applyFill="1" applyBorder="1" applyAlignment="1">
      <alignment horizontal="left" vertical="center"/>
    </xf>
    <xf numFmtId="0" fontId="11" fillId="0" borderId="0" xfId="2" applyFont="1" applyFill="1" applyBorder="1" applyAlignment="1">
      <alignment horizontal="center" vertical="center"/>
    </xf>
    <xf numFmtId="14" fontId="10" fillId="0" borderId="11" xfId="2" applyNumberFormat="1" applyFont="1" applyFill="1" applyBorder="1" applyAlignment="1">
      <alignment horizontal="left" vertical="center"/>
    </xf>
    <xf numFmtId="0" fontId="11" fillId="0" borderId="11" xfId="2" applyFont="1" applyFill="1" applyBorder="1" applyAlignment="1">
      <alignment horizontal="center" vertical="center"/>
    </xf>
    <xf numFmtId="14" fontId="2" fillId="0" borderId="6" xfId="2" applyNumberFormat="1" applyFont="1" applyFill="1" applyBorder="1" applyAlignment="1">
      <alignment horizontal="center" vertical="center"/>
    </xf>
    <xf numFmtId="14" fontId="2" fillId="0" borderId="6" xfId="2" applyNumberFormat="1" applyFont="1" applyFill="1" applyBorder="1" applyAlignment="1">
      <alignment horizontal="center" vertical="center" wrapText="1"/>
    </xf>
    <xf numFmtId="14" fontId="2" fillId="0" borderId="0" xfId="2" applyNumberFormat="1" applyFont="1" applyFill="1" applyBorder="1" applyAlignment="1">
      <alignment horizontal="center" vertical="center"/>
    </xf>
    <xf numFmtId="14" fontId="2" fillId="0" borderId="0" xfId="2" applyNumberFormat="1" applyFont="1" applyFill="1" applyBorder="1" applyAlignment="1">
      <alignment horizontal="center" vertical="center" wrapText="1"/>
    </xf>
    <xf numFmtId="14" fontId="2" fillId="0" borderId="11" xfId="2" applyNumberFormat="1" applyFont="1" applyFill="1" applyBorder="1" applyAlignment="1">
      <alignment horizontal="center" vertical="center"/>
    </xf>
    <xf numFmtId="14" fontId="2" fillId="0" borderId="11" xfId="2" applyNumberFormat="1" applyFont="1" applyFill="1" applyBorder="1" applyAlignment="1">
      <alignment horizontal="center" vertical="center" wrapText="1"/>
    </xf>
    <xf numFmtId="0" fontId="9" fillId="2" borderId="0" xfId="2" applyFont="1" applyFill="1" applyAlignment="1">
      <alignment horizontal="left" vertical="center"/>
    </xf>
    <xf numFmtId="0" fontId="9" fillId="0" borderId="0" xfId="2" applyFont="1" applyAlignment="1">
      <alignment vertical="center"/>
    </xf>
    <xf numFmtId="14" fontId="2" fillId="2" borderId="0" xfId="2" applyNumberFormat="1" applyFont="1" applyFill="1" applyAlignment="1">
      <alignment vertical="center"/>
    </xf>
    <xf numFmtId="14" fontId="2" fillId="2" borderId="0" xfId="2" applyNumberFormat="1" applyFont="1" applyFill="1" applyAlignment="1">
      <alignment horizontal="center" vertical="center"/>
    </xf>
    <xf numFmtId="0" fontId="4" fillId="2" borderId="0" xfId="2" applyFont="1" applyFill="1" applyAlignment="1">
      <alignment horizontal="center" vertical="center"/>
    </xf>
    <xf numFmtId="177" fontId="4" fillId="2" borderId="0" xfId="2" applyNumberFormat="1" applyFont="1" applyFill="1" applyAlignment="1">
      <alignment vertical="center"/>
    </xf>
    <xf numFmtId="4" fontId="6" fillId="2" borderId="0" xfId="1" applyNumberFormat="1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 wrapText="1"/>
    </xf>
    <xf numFmtId="0" fontId="4" fillId="0" borderId="0" xfId="2" applyFont="1" applyFill="1" applyAlignment="1">
      <alignment vertical="center"/>
    </xf>
    <xf numFmtId="178" fontId="2" fillId="0" borderId="0" xfId="2" applyNumberFormat="1" applyFont="1" applyBorder="1" applyAlignment="1">
      <alignment vertical="center"/>
    </xf>
    <xf numFmtId="0" fontId="4" fillId="0" borderId="7" xfId="2" applyFont="1" applyBorder="1" applyAlignment="1">
      <alignment horizontal="left" vertical="center" wrapText="1"/>
    </xf>
    <xf numFmtId="0" fontId="4" fillId="0" borderId="9" xfId="2" applyFont="1" applyBorder="1" applyAlignment="1">
      <alignment horizontal="left" vertical="center" wrapText="1"/>
    </xf>
    <xf numFmtId="0" fontId="4" fillId="0" borderId="12" xfId="2" applyFont="1" applyBorder="1" applyAlignment="1">
      <alignment horizontal="left" vertical="center" wrapText="1"/>
    </xf>
    <xf numFmtId="14" fontId="2" fillId="0" borderId="0" xfId="2" applyNumberFormat="1" applyFont="1" applyFill="1" applyAlignment="1">
      <alignment horizontal="center" vertical="center"/>
    </xf>
    <xf numFmtId="0" fontId="13" fillId="0" borderId="0" xfId="0" applyFont="1">
      <alignment vertical="center"/>
    </xf>
    <xf numFmtId="14" fontId="15" fillId="0" borderId="0" xfId="2" applyNumberFormat="1" applyFont="1" applyFill="1" applyBorder="1" applyAlignment="1">
      <alignment horizontal="left" vertical="center"/>
    </xf>
    <xf numFmtId="14" fontId="16" fillId="3" borderId="13" xfId="2" applyNumberFormat="1" applyFont="1" applyFill="1" applyBorder="1" applyAlignment="1">
      <alignment horizontal="center" vertical="center"/>
    </xf>
    <xf numFmtId="14" fontId="16" fillId="3" borderId="14" xfId="2" applyNumberFormat="1" applyFont="1" applyFill="1" applyBorder="1" applyAlignment="1">
      <alignment horizontal="center" vertical="center"/>
    </xf>
    <xf numFmtId="0" fontId="16" fillId="3" borderId="14" xfId="2" applyNumberFormat="1" applyFont="1" applyFill="1" applyBorder="1" applyAlignment="1">
      <alignment horizontal="center" vertical="center"/>
    </xf>
    <xf numFmtId="177" fontId="16" fillId="3" borderId="14" xfId="2" applyNumberFormat="1" applyFont="1" applyFill="1" applyBorder="1" applyAlignment="1">
      <alignment horizontal="center" vertical="center" wrapText="1"/>
    </xf>
    <xf numFmtId="0" fontId="16" fillId="3" borderId="15" xfId="1" applyNumberFormat="1" applyFont="1" applyFill="1" applyBorder="1" applyAlignment="1">
      <alignment horizontal="center" vertical="center" wrapText="1"/>
    </xf>
    <xf numFmtId="14" fontId="2" fillId="4" borderId="13" xfId="2" applyNumberFormat="1" applyFont="1" applyFill="1" applyBorder="1" applyAlignment="1">
      <alignment vertical="center"/>
    </xf>
    <xf numFmtId="14" fontId="2" fillId="4" borderId="14" xfId="2" applyNumberFormat="1" applyFont="1" applyFill="1" applyBorder="1" applyAlignment="1">
      <alignment horizontal="center" vertical="center"/>
    </xf>
    <xf numFmtId="14" fontId="2" fillId="4" borderId="14" xfId="2" applyNumberFormat="1" applyFont="1" applyFill="1" applyBorder="1" applyAlignment="1">
      <alignment horizontal="center" vertical="center" wrapText="1"/>
    </xf>
    <xf numFmtId="0" fontId="4" fillId="4" borderId="14" xfId="2" applyNumberFormat="1" applyFont="1" applyFill="1" applyBorder="1" applyAlignment="1">
      <alignment vertical="center"/>
    </xf>
    <xf numFmtId="0" fontId="4" fillId="4" borderId="14" xfId="2" applyNumberFormat="1" applyFont="1" applyFill="1" applyBorder="1" applyAlignment="1">
      <alignment horizontal="center" vertical="center"/>
    </xf>
    <xf numFmtId="177" fontId="4" fillId="4" borderId="14" xfId="2" applyNumberFormat="1" applyFont="1" applyFill="1" applyBorder="1" applyAlignment="1">
      <alignment vertical="center"/>
    </xf>
    <xf numFmtId="4" fontId="6" fillId="4" borderId="15" xfId="1" applyNumberFormat="1" applyFont="1" applyFill="1" applyBorder="1" applyAlignment="1">
      <alignment horizontal="left" vertical="center" wrapText="1"/>
    </xf>
    <xf numFmtId="178" fontId="2" fillId="0" borderId="13" xfId="2" applyNumberFormat="1" applyFont="1" applyBorder="1" applyAlignment="1">
      <alignment vertical="center"/>
    </xf>
    <xf numFmtId="14" fontId="2" fillId="0" borderId="14" xfId="2" applyNumberFormat="1" applyFont="1" applyBorder="1" applyAlignment="1">
      <alignment horizontal="center" vertical="center"/>
    </xf>
    <xf numFmtId="14" fontId="2" fillId="0" borderId="14" xfId="2" applyNumberFormat="1" applyFont="1" applyBorder="1" applyAlignment="1">
      <alignment horizontal="center" vertical="center" wrapText="1"/>
    </xf>
    <xf numFmtId="0" fontId="4" fillId="0" borderId="14" xfId="2" applyNumberFormat="1" applyFont="1" applyBorder="1" applyAlignment="1">
      <alignment vertical="center"/>
    </xf>
    <xf numFmtId="0" fontId="4" fillId="0" borderId="14" xfId="2" applyNumberFormat="1" applyFont="1" applyBorder="1" applyAlignment="1">
      <alignment horizontal="center" vertical="center"/>
    </xf>
    <xf numFmtId="177" fontId="4" fillId="0" borderId="14" xfId="2" applyNumberFormat="1" applyFont="1" applyBorder="1" applyAlignment="1">
      <alignment vertical="center"/>
    </xf>
    <xf numFmtId="4" fontId="6" fillId="0" borderId="15" xfId="1" applyNumberFormat="1" applyFont="1" applyBorder="1" applyAlignment="1">
      <alignment horizontal="left" vertical="center" wrapText="1"/>
    </xf>
    <xf numFmtId="178" fontId="2" fillId="4" borderId="13" xfId="2" applyNumberFormat="1" applyFont="1" applyFill="1" applyBorder="1" applyAlignment="1">
      <alignment vertical="center"/>
    </xf>
    <xf numFmtId="14" fontId="2" fillId="0" borderId="13" xfId="2" applyNumberFormat="1" applyFont="1" applyBorder="1" applyAlignment="1">
      <alignment vertical="center"/>
    </xf>
    <xf numFmtId="179" fontId="4" fillId="0" borderId="0" xfId="2" applyNumberFormat="1" applyFont="1" applyAlignment="1">
      <alignment horizontal="right" vertical="center"/>
    </xf>
    <xf numFmtId="179" fontId="4" fillId="0" borderId="6" xfId="2" applyNumberFormat="1" applyFont="1" applyBorder="1" applyAlignment="1">
      <alignment horizontal="right" vertical="center"/>
    </xf>
    <xf numFmtId="14" fontId="10" fillId="0" borderId="0" xfId="2" applyNumberFormat="1" applyFont="1" applyAlignment="1">
      <alignment horizontal="left" vertical="center"/>
    </xf>
    <xf numFmtId="14" fontId="10" fillId="0" borderId="0" xfId="2" applyNumberFormat="1" applyFont="1" applyAlignment="1">
      <alignment horizontal="center" vertical="center"/>
    </xf>
    <xf numFmtId="179" fontId="4" fillId="0" borderId="0" xfId="2" applyNumberFormat="1" applyFont="1" applyBorder="1" applyAlignment="1">
      <alignment horizontal="right" vertical="center"/>
    </xf>
    <xf numFmtId="179" fontId="4" fillId="0" borderId="0" xfId="2" applyNumberFormat="1" applyFont="1" applyFill="1" applyBorder="1" applyAlignment="1">
      <alignment horizontal="right" vertical="center"/>
    </xf>
    <xf numFmtId="179" fontId="17" fillId="0" borderId="0" xfId="2" applyNumberFormat="1" applyFont="1" applyAlignment="1">
      <alignment horizontal="right" vertical="center"/>
    </xf>
    <xf numFmtId="14" fontId="2" fillId="0" borderId="0" xfId="2" applyNumberFormat="1" applyFont="1" applyAlignment="1">
      <alignment horizontal="left" vertical="center"/>
    </xf>
    <xf numFmtId="0" fontId="19" fillId="0" borderId="0" xfId="0" applyFont="1">
      <alignment vertical="center"/>
    </xf>
    <xf numFmtId="0" fontId="0" fillId="0" borderId="0" xfId="0" applyAlignment="1">
      <alignment horizontal="center" vertical="center"/>
    </xf>
    <xf numFmtId="0" fontId="13" fillId="0" borderId="1" xfId="0" applyFont="1" applyBorder="1">
      <alignment vertical="center"/>
    </xf>
    <xf numFmtId="0" fontId="13" fillId="0" borderId="1" xfId="0" applyFont="1" applyBorder="1" applyAlignment="1">
      <alignment horizontal="center" vertical="center"/>
    </xf>
    <xf numFmtId="0" fontId="18" fillId="0" borderId="1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9" fillId="0" borderId="1" xfId="3" applyFont="1" applyFill="1" applyBorder="1">
      <alignment vertical="center"/>
    </xf>
    <xf numFmtId="0" fontId="19" fillId="0" borderId="1" xfId="3" applyFont="1" applyBorder="1">
      <alignment vertical="center"/>
    </xf>
    <xf numFmtId="0" fontId="20" fillId="0" borderId="1" xfId="3" applyFont="1" applyFill="1" applyBorder="1" applyAlignment="1">
      <alignment horizontal="center" vertical="center"/>
    </xf>
    <xf numFmtId="0" fontId="19" fillId="0" borderId="1" xfId="3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0" fillId="0" borderId="1" xfId="0" applyFill="1" applyBorder="1">
      <alignment vertical="center"/>
    </xf>
    <xf numFmtId="0" fontId="19" fillId="0" borderId="1" xfId="0" applyFont="1" applyBorder="1">
      <alignment vertical="center"/>
    </xf>
    <xf numFmtId="177" fontId="4" fillId="0" borderId="0" xfId="2" applyNumberFormat="1" applyFont="1" applyFill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9" fillId="0" borderId="1" xfId="3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>
      <alignment vertical="center"/>
    </xf>
  </cellXfs>
  <cellStyles count="4">
    <cellStyle name="Normal 2" xfId="1"/>
    <cellStyle name="常规" xfId="0" builtinId="0"/>
    <cellStyle name="常规 2" xfId="2"/>
    <cellStyle name="超链接" xfId="3" builtinId="8"/>
  </cellStyles>
  <dxfs count="52">
    <dxf>
      <font>
        <strike val="0"/>
        <outline val="0"/>
        <shadow val="0"/>
        <u val="none"/>
        <vertAlign val="baseline"/>
        <sz val="10"/>
        <name val="等线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scheme val="minor"/>
      </font>
      <numFmt numFmtId="177" formatCode="&quot;¥&quot;#,##0.00_);[Red]\(&quot;¥&quot;#,##0.00\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等线"/>
        <scheme val="minor"/>
      </font>
      <numFmt numFmtId="19" formatCode="yyyy/m/d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等线"/>
        <scheme val="minor"/>
      </font>
      <numFmt numFmtId="19" formatCode="yyyy/m/d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等线"/>
        <scheme val="minor"/>
      </font>
      <numFmt numFmtId="19" formatCode="yyyy/m/d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等线"/>
        <scheme val="minor"/>
      </font>
      <numFmt numFmtId="178" formatCode="m/d/yyyy"/>
      <alignment vertical="center" textRotation="0" justifyLastLine="0" shrinkToFit="0" readingOrder="0"/>
    </dxf>
    <dxf>
      <font>
        <strike val="0"/>
        <outline val="0"/>
        <shadow val="0"/>
        <u val="none"/>
        <vertAlign val="baseline"/>
        <sz val="10"/>
        <name val="等线"/>
        <scheme val="none"/>
      </font>
      <alignment vertical="center" textRotation="0" justifyLastLine="0" shrinkToFit="0" readingOrder="0"/>
    </dxf>
    <dxf>
      <font>
        <strike val="0"/>
        <outline val="0"/>
        <shadow val="0"/>
        <u val="none"/>
        <vertAlign val="baseline"/>
        <sz val="10"/>
        <name val="等线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等线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scheme val="minor"/>
      </font>
      <numFmt numFmtId="177" formatCode="&quot;¥&quot;#,##0.00_);[Red]\(&quot;¥&quot;#,##0.00\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等线"/>
        <scheme val="minor"/>
      </font>
      <numFmt numFmtId="19" formatCode="yyyy/m/d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等线"/>
        <scheme val="minor"/>
      </font>
      <numFmt numFmtId="19" formatCode="yyyy/m/d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等线"/>
        <scheme val="minor"/>
      </font>
      <numFmt numFmtId="19" formatCode="yyyy/m/d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等线"/>
        <scheme val="minor"/>
      </font>
      <numFmt numFmtId="178" formatCode="m/d/yyyy"/>
      <alignment vertical="center" textRotation="0" justifyLastLine="0" shrinkToFit="0" readingOrder="0"/>
    </dxf>
    <dxf>
      <font>
        <strike val="0"/>
        <outline val="0"/>
        <shadow val="0"/>
        <u val="none"/>
        <vertAlign val="baseline"/>
        <sz val="10"/>
        <name val="等线"/>
        <scheme val="none"/>
      </font>
      <alignment vertical="center" textRotation="0" justifyLastLine="0" shrinkToFit="0" readingOrder="0"/>
    </dxf>
    <dxf>
      <font>
        <strike val="0"/>
        <outline val="0"/>
        <shadow val="0"/>
        <u val="none"/>
        <vertAlign val="baseline"/>
        <sz val="10"/>
        <name val="等线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等线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scheme val="minor"/>
      </font>
      <numFmt numFmtId="177" formatCode="&quot;¥&quot;#,##0.00_);[Red]\(&quot;¥&quot;#,##0.00\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等线"/>
        <scheme val="minor"/>
      </font>
      <numFmt numFmtId="19" formatCode="yyyy/m/d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等线"/>
        <scheme val="minor"/>
      </font>
      <numFmt numFmtId="19" formatCode="yyyy/m/d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等线"/>
        <scheme val="minor"/>
      </font>
      <numFmt numFmtId="19" formatCode="yyyy/m/d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等线"/>
        <scheme val="minor"/>
      </font>
      <numFmt numFmtId="178" formatCode="m/d/yyyy"/>
      <alignment vertical="center" textRotation="0" justifyLastLine="0" shrinkToFit="0" readingOrder="0"/>
    </dxf>
    <dxf>
      <font>
        <strike val="0"/>
        <outline val="0"/>
        <shadow val="0"/>
        <u val="none"/>
        <vertAlign val="baseline"/>
        <sz val="10"/>
        <name val="等线"/>
        <scheme val="none"/>
      </font>
      <alignment vertical="center" textRotation="0" justifyLastLine="0" shrinkToFit="0" readingOrder="0"/>
    </dxf>
    <dxf>
      <font>
        <strike val="0"/>
        <outline val="0"/>
        <shadow val="0"/>
        <u val="none"/>
        <vertAlign val="baseline"/>
        <sz val="10"/>
        <name val="等线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等线"/>
        <scheme val="minor"/>
      </font>
      <alignment vertical="center" textRotation="0" justifyLastLine="0" shrinkToFit="0" readingOrder="0"/>
    </dxf>
    <dxf>
      <font>
        <strike val="0"/>
        <outline val="0"/>
        <shadow val="0"/>
        <u val="none"/>
        <vertAlign val="baseline"/>
        <sz val="10"/>
        <name val="等线"/>
        <scheme val="minor"/>
      </font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scheme val="minor"/>
      </font>
      <numFmt numFmtId="177" formatCode="&quot;¥&quot;#,##0.00_);[Red]\(&quot;¥&quot;#,##0.00\)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scheme val="minor"/>
      </font>
      <numFmt numFmtId="177" formatCode="&quot;¥&quot;#,##0.00_);[Red]\(&quot;¥&quot;#,##0.00\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等线"/>
        <scheme val="minor"/>
      </font>
      <numFmt numFmtId="19" formatCode="yyyy/m/d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等线"/>
        <scheme val="minor"/>
      </font>
      <numFmt numFmtId="19" formatCode="yyyy/m/d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等线"/>
        <scheme val="minor"/>
      </font>
      <numFmt numFmtId="19" formatCode="yyyy/m/d"/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auto="1"/>
        <name val="等线"/>
        <scheme val="minor"/>
      </font>
      <numFmt numFmtId="178" formatCode="m/d/yyyy"/>
      <alignment vertical="center" textRotation="0" justifyLastLine="0" shrinkToFit="0" readingOrder="0"/>
    </dxf>
    <dxf>
      <font>
        <strike val="0"/>
        <outline val="0"/>
        <shadow val="0"/>
        <u val="none"/>
        <vertAlign val="baseline"/>
        <sz val="10"/>
        <name val="等线"/>
        <scheme val="minor"/>
      </font>
      <alignment vertical="center" textRotation="0" justifyLastLine="0" shrinkToFit="0" readingOrder="0"/>
    </dxf>
    <dxf>
      <font>
        <strike val="0"/>
        <outline val="0"/>
        <shadow val="0"/>
        <u val="none"/>
        <vertAlign val="baseline"/>
        <sz val="10"/>
        <name val="等线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等线"/>
        <scheme val="minor"/>
      </font>
      <alignment horizontal="left" vertical="center" textRotation="0" wrapText="1" indent="0" justifyLastLine="0" shrinkToFit="0" readingOrder="0"/>
      <border outline="0">
        <left style="medium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scheme val="minor"/>
      </font>
      <numFmt numFmtId="179" formatCode="&quot;¥&quot;#,##0_);[Red]\(&quot;¥&quot;#,##0\)"/>
      <fill>
        <patternFill patternType="none">
          <fgColor indexed="64"/>
          <bgColor indexed="65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scheme val="minor"/>
      </font>
      <numFmt numFmtId="179" formatCode="&quot;¥&quot;#,##0_);[Red]\(&quot;¥&quot;#,##0\)"/>
      <fill>
        <patternFill patternType="solid">
          <fgColor indexed="64"/>
          <bgColor rgb="FFFFFF00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等线"/>
        <scheme val="minor"/>
      </font>
      <numFmt numFmtId="179" formatCode="&quot;¥&quot;#,##0_);[Red]\(&quot;¥&quot;#,##0\)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等线"/>
        <scheme val="minor"/>
      </font>
      <numFmt numFmtId="19" formatCode="yyyy/m/d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等线"/>
        <scheme val="minor"/>
      </font>
      <numFmt numFmtId="19" formatCode="yyyy/m/d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等线"/>
        <scheme val="minor"/>
      </font>
      <numFmt numFmtId="19" formatCode="yyyy/m/d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等线"/>
        <scheme val="minor"/>
      </font>
      <numFmt numFmtId="19" formatCode="yyyy/m/d"/>
      <alignment horizontal="left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name val="等线"/>
        <scheme val="none"/>
      </font>
      <alignment vertical="center" textRotation="0" justifyLastLine="0" shrinkToFit="0" readingOrder="0"/>
    </dxf>
    <dxf>
      <font>
        <strike val="0"/>
        <outline val="0"/>
        <shadow val="0"/>
        <u val="none"/>
        <vertAlign val="baseline"/>
        <sz val="10"/>
        <name val="等线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icrosoft-my.sharepoint.com/personal/erikmil_microsoft_com/Documents/EDSG/CP%20FLOM%20Working%20File/Price%20Lists/12-1-14%20Gallatin%20Artemis%20P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MB"/>
      <sheetName val="CNY-1"/>
      <sheetName val="CNY"/>
      <sheetName val="Pricing"/>
      <sheetName val="Direct Equivalent Pricing"/>
      <sheetName val="Sheet4"/>
      <sheetName val="Sheet6"/>
      <sheetName val="Shee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ables/table1.xml><?xml version="1.0" encoding="utf-8"?>
<table xmlns="http://schemas.openxmlformats.org/spreadsheetml/2006/main" id="2" name="Table55684" displayName="Table55684" ref="A1:H17" totalsRowShown="0" headerRowDxfId="51" dataDxfId="50">
  <tableColumns count="8">
    <tableColumn id="6" name="产品名称" dataDxfId="49" dataCellStyle="常规 2"/>
    <tableColumn id="5" name="品牌" dataDxfId="48" dataCellStyle="常规 2"/>
    <tableColumn id="4" name="型号" dataDxfId="47" dataCellStyle="常规 2"/>
    <tableColumn id="3" name="单位" dataDxfId="46" dataCellStyle="常规 2"/>
    <tableColumn id="11" name="销售价" dataDxfId="45" dataCellStyle="常规 2"/>
    <tableColumn id="1" name="最低销售价" dataDxfId="44" dataCellStyle="常规 2"/>
    <tableColumn id="10" name="调试费" dataDxfId="43" dataCellStyle="常规 2"/>
    <tableColumn id="2" name="描述" dataDxfId="4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5" displayName="Table5" ref="A1:J31" totalsRowShown="0" headerRowDxfId="41" dataDxfId="40">
  <tableColumns count="10">
    <tableColumn id="4" name="产品编号" dataDxfId="39"/>
    <tableColumn id="9" name="品牌" dataDxfId="38" dataCellStyle="常规 2"/>
    <tableColumn id="10" name="产品分类" dataDxfId="37" dataCellStyle="常规 2"/>
    <tableColumn id="6" name="产品名称" dataDxfId="36" dataCellStyle="常规 2"/>
    <tableColumn id="11" name="规格型号" dataDxfId="35" dataCellStyle="常规 2"/>
    <tableColumn id="1" name="单位" dataDxfId="34" dataCellStyle="常规 2"/>
    <tableColumn id="5" name="单价_x000a_（元/月）" dataDxfId="33" dataCellStyle="常规 2"/>
    <tableColumn id="13" name="销售价_x000a_（元/年）" dataDxfId="32" dataCellStyle="常规 2">
      <calculatedColumnFormula>Table5[[#This Row],[单价
（元/月）]]*12</calculatedColumnFormula>
    </tableColumn>
    <tableColumn id="2" name="产品描述" dataDxfId="31"/>
    <tableColumn id="3" name="备注" dataDxfId="3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5564" displayName="Table5564" ref="A1:H6" totalsRowShown="0" headerRowDxfId="29" dataDxfId="28">
  <autoFilter ref="A1:H6"/>
  <tableColumns count="8">
    <tableColumn id="4" name="产品编号" dataDxfId="27" dataCellStyle="常规 2"/>
    <tableColumn id="9" name="品牌" dataDxfId="26" dataCellStyle="常规 2"/>
    <tableColumn id="10" name="产品分类" dataDxfId="25" dataCellStyle="常规 2"/>
    <tableColumn id="6" name="产品名称" dataDxfId="24" dataCellStyle="常规 2"/>
    <tableColumn id="11" name="规格型号" dataDxfId="23" dataCellStyle="常规 2"/>
    <tableColumn id="1" name="单位" dataDxfId="22" dataCellStyle="常规 2"/>
    <tableColumn id="3" name="销售价_x000a_（元）" dataDxfId="21" dataCellStyle="常规 2"/>
    <tableColumn id="2" name="产品描述" dataDxfId="20" dataCellStyle="常规 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able556" displayName="Table556" ref="A1:H27" totalsRowShown="0" headerRowDxfId="19" dataDxfId="18">
  <autoFilter ref="A1:H27"/>
  <tableColumns count="8">
    <tableColumn id="4" name="产品编号" dataDxfId="17" dataCellStyle="常规 2"/>
    <tableColumn id="9" name="品牌" dataDxfId="16" dataCellStyle="常规 2"/>
    <tableColumn id="10" name="产品分类" dataDxfId="15" dataCellStyle="常规 2"/>
    <tableColumn id="6" name="产品名称" dataDxfId="14" dataCellStyle="常规 2"/>
    <tableColumn id="11" name="规格型号" dataDxfId="13" dataCellStyle="常规 2"/>
    <tableColumn id="1" name="单位" dataDxfId="12" dataCellStyle="常规 2"/>
    <tableColumn id="3" name="销售价_x000a_（元）" dataDxfId="11" dataCellStyle="常规 2"/>
    <tableColumn id="2" name="产品描述" dataDxfId="10" dataCellStyle="常规 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6" name="Table5567" displayName="Table5567" ref="A1:H104" totalsRowShown="0" headerRowDxfId="9" dataDxfId="8">
  <autoFilter ref="A1:H104"/>
  <tableColumns count="8">
    <tableColumn id="4" name="产品编号" dataDxfId="7"/>
    <tableColumn id="9" name="品牌" dataDxfId="6" dataCellStyle="常规 2"/>
    <tableColumn id="10" name="产品分类" dataDxfId="5" dataCellStyle="常规 2"/>
    <tableColumn id="6" name="产品名称" dataDxfId="4" dataCellStyle="常规 2"/>
    <tableColumn id="11" name="规格型号" dataDxfId="3" dataCellStyle="常规 2"/>
    <tableColumn id="1" name="单位" dataDxfId="2" dataCellStyle="常规 2"/>
    <tableColumn id="3" name="销售价_x000a_（元）" dataDxfId="1"/>
    <tableColumn id="2" name="产品描述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1"/>
  <sheetViews>
    <sheetView showGridLines="0" topLeftCell="A40" workbookViewId="0">
      <selection activeCell="G15" sqref="G15"/>
    </sheetView>
  </sheetViews>
  <sheetFormatPr defaultRowHeight="14.25" x14ac:dyDescent="0.2"/>
  <cols>
    <col min="2" max="2" width="13.5" style="119" customWidth="1"/>
    <col min="3" max="3" width="13.125" style="118" customWidth="1"/>
  </cols>
  <sheetData>
    <row r="1" spans="1:3" x14ac:dyDescent="0.2">
      <c r="A1" s="120" t="s">
        <v>72</v>
      </c>
      <c r="B1" s="121" t="s">
        <v>44</v>
      </c>
      <c r="C1" s="122" t="s">
        <v>42</v>
      </c>
    </row>
    <row r="2" spans="1:3" x14ac:dyDescent="0.2">
      <c r="A2" s="123">
        <v>1</v>
      </c>
      <c r="B2" s="124" t="s">
        <v>260</v>
      </c>
      <c r="C2" s="125" t="s">
        <v>261</v>
      </c>
    </row>
    <row r="3" spans="1:3" x14ac:dyDescent="0.2">
      <c r="A3" s="123">
        <v>2</v>
      </c>
      <c r="B3" s="133" t="s">
        <v>262</v>
      </c>
      <c r="C3" s="125" t="s">
        <v>263</v>
      </c>
    </row>
    <row r="4" spans="1:3" x14ac:dyDescent="0.2">
      <c r="A4" s="123">
        <v>3</v>
      </c>
      <c r="B4" s="133"/>
      <c r="C4" s="125" t="s">
        <v>264</v>
      </c>
    </row>
    <row r="5" spans="1:3" x14ac:dyDescent="0.2">
      <c r="A5" s="123">
        <v>4</v>
      </c>
      <c r="B5" s="133"/>
      <c r="C5" s="125" t="s">
        <v>265</v>
      </c>
    </row>
    <row r="6" spans="1:3" x14ac:dyDescent="0.2">
      <c r="A6" s="123">
        <v>5</v>
      </c>
      <c r="B6" s="133"/>
      <c r="C6" s="125" t="s">
        <v>261</v>
      </c>
    </row>
    <row r="7" spans="1:3" x14ac:dyDescent="0.2">
      <c r="A7" s="123">
        <v>6</v>
      </c>
      <c r="B7" s="133"/>
      <c r="C7" s="126" t="s">
        <v>266</v>
      </c>
    </row>
    <row r="8" spans="1:3" x14ac:dyDescent="0.2">
      <c r="A8" s="123">
        <v>7</v>
      </c>
      <c r="B8" s="133" t="s">
        <v>267</v>
      </c>
      <c r="C8" s="126" t="s">
        <v>268</v>
      </c>
    </row>
    <row r="9" spans="1:3" x14ac:dyDescent="0.2">
      <c r="A9" s="123">
        <v>8</v>
      </c>
      <c r="B9" s="133"/>
      <c r="C9" s="126" t="s">
        <v>269</v>
      </c>
    </row>
    <row r="10" spans="1:3" x14ac:dyDescent="0.2">
      <c r="A10" s="123">
        <v>9</v>
      </c>
      <c r="B10" s="133" t="s">
        <v>270</v>
      </c>
      <c r="C10" s="126" t="s">
        <v>271</v>
      </c>
    </row>
    <row r="11" spans="1:3" x14ac:dyDescent="0.2">
      <c r="A11" s="123">
        <v>10</v>
      </c>
      <c r="B11" s="133"/>
      <c r="C11" s="126" t="s">
        <v>272</v>
      </c>
    </row>
    <row r="12" spans="1:3" x14ac:dyDescent="0.2">
      <c r="A12" s="123">
        <v>11</v>
      </c>
      <c r="B12" s="136" t="s">
        <v>273</v>
      </c>
      <c r="C12" s="26" t="s">
        <v>265</v>
      </c>
    </row>
    <row r="13" spans="1:3" x14ac:dyDescent="0.2">
      <c r="A13" s="123">
        <v>12</v>
      </c>
      <c r="B13" s="136"/>
      <c r="C13" s="26" t="s">
        <v>274</v>
      </c>
    </row>
    <row r="14" spans="1:3" x14ac:dyDescent="0.2">
      <c r="A14" s="123">
        <v>13</v>
      </c>
      <c r="B14" s="136"/>
      <c r="C14" s="26" t="s">
        <v>261</v>
      </c>
    </row>
    <row r="15" spans="1:3" x14ac:dyDescent="0.2">
      <c r="A15" s="123">
        <v>14</v>
      </c>
      <c r="B15" s="136"/>
      <c r="C15" s="26" t="s">
        <v>275</v>
      </c>
    </row>
    <row r="16" spans="1:3" x14ac:dyDescent="0.2">
      <c r="A16" s="123">
        <v>15</v>
      </c>
      <c r="B16" s="133" t="s">
        <v>276</v>
      </c>
      <c r="C16" s="126" t="s">
        <v>277</v>
      </c>
    </row>
    <row r="17" spans="1:3" x14ac:dyDescent="0.2">
      <c r="A17" s="123">
        <v>16</v>
      </c>
      <c r="B17" s="133"/>
      <c r="C17" s="126" t="s">
        <v>278</v>
      </c>
    </row>
    <row r="18" spans="1:3" x14ac:dyDescent="0.2">
      <c r="A18" s="123">
        <v>17</v>
      </c>
      <c r="B18" s="133"/>
      <c r="C18" s="126" t="s">
        <v>265</v>
      </c>
    </row>
    <row r="19" spans="1:3" x14ac:dyDescent="0.2">
      <c r="A19" s="123">
        <v>18</v>
      </c>
      <c r="B19" s="133"/>
      <c r="C19" s="126" t="s">
        <v>271</v>
      </c>
    </row>
    <row r="20" spans="1:3" x14ac:dyDescent="0.2">
      <c r="A20" s="123">
        <v>19</v>
      </c>
      <c r="B20" s="133"/>
      <c r="C20" s="126" t="s">
        <v>272</v>
      </c>
    </row>
    <row r="21" spans="1:3" x14ac:dyDescent="0.2">
      <c r="A21" s="123">
        <v>20</v>
      </c>
      <c r="B21" s="133"/>
      <c r="C21" s="126" t="s">
        <v>279</v>
      </c>
    </row>
    <row r="22" spans="1:3" x14ac:dyDescent="0.2">
      <c r="A22" s="123">
        <v>21</v>
      </c>
      <c r="B22" s="124" t="s">
        <v>280</v>
      </c>
      <c r="C22" s="126" t="s">
        <v>264</v>
      </c>
    </row>
    <row r="23" spans="1:3" x14ac:dyDescent="0.2">
      <c r="A23" s="123">
        <v>22</v>
      </c>
      <c r="B23" s="133" t="s">
        <v>281</v>
      </c>
      <c r="C23" s="126" t="s">
        <v>282</v>
      </c>
    </row>
    <row r="24" spans="1:3" x14ac:dyDescent="0.2">
      <c r="A24" s="123">
        <v>23</v>
      </c>
      <c r="B24" s="133"/>
      <c r="C24" s="126" t="s">
        <v>261</v>
      </c>
    </row>
    <row r="25" spans="1:3" x14ac:dyDescent="0.2">
      <c r="A25" s="123">
        <v>24</v>
      </c>
      <c r="B25" s="124" t="s">
        <v>283</v>
      </c>
      <c r="C25" s="126" t="s">
        <v>284</v>
      </c>
    </row>
    <row r="26" spans="1:3" x14ac:dyDescent="0.2">
      <c r="A26" s="123">
        <v>25</v>
      </c>
      <c r="B26" s="124" t="s">
        <v>285</v>
      </c>
      <c r="C26" s="126" t="s">
        <v>286</v>
      </c>
    </row>
    <row r="27" spans="1:3" x14ac:dyDescent="0.2">
      <c r="A27" s="123">
        <v>26</v>
      </c>
      <c r="B27" s="133" t="s">
        <v>287</v>
      </c>
      <c r="C27" s="126" t="s">
        <v>288</v>
      </c>
    </row>
    <row r="28" spans="1:3" x14ac:dyDescent="0.2">
      <c r="A28" s="123">
        <v>27</v>
      </c>
      <c r="B28" s="133"/>
      <c r="C28" s="126" t="s">
        <v>289</v>
      </c>
    </row>
    <row r="29" spans="1:3" x14ac:dyDescent="0.2">
      <c r="A29" s="123">
        <v>28</v>
      </c>
      <c r="B29" s="133"/>
      <c r="C29" s="126" t="s">
        <v>290</v>
      </c>
    </row>
    <row r="30" spans="1:3" x14ac:dyDescent="0.2">
      <c r="A30" s="123">
        <v>29</v>
      </c>
      <c r="B30" s="133"/>
      <c r="C30" s="126" t="s">
        <v>291</v>
      </c>
    </row>
    <row r="31" spans="1:3" x14ac:dyDescent="0.2">
      <c r="A31" s="123">
        <v>30</v>
      </c>
      <c r="B31" s="133"/>
      <c r="C31" s="126" t="s">
        <v>292</v>
      </c>
    </row>
    <row r="32" spans="1:3" x14ac:dyDescent="0.2">
      <c r="A32" s="123">
        <v>31</v>
      </c>
      <c r="B32" s="133" t="s">
        <v>293</v>
      </c>
      <c r="C32" s="126" t="s">
        <v>289</v>
      </c>
    </row>
    <row r="33" spans="1:3" x14ac:dyDescent="0.2">
      <c r="A33" s="123">
        <v>32</v>
      </c>
      <c r="B33" s="133"/>
      <c r="C33" s="126" t="s">
        <v>290</v>
      </c>
    </row>
    <row r="34" spans="1:3" x14ac:dyDescent="0.2">
      <c r="A34" s="123">
        <v>33</v>
      </c>
      <c r="B34" s="133"/>
      <c r="C34" s="126" t="s">
        <v>294</v>
      </c>
    </row>
    <row r="35" spans="1:3" x14ac:dyDescent="0.2">
      <c r="A35" s="123">
        <v>34</v>
      </c>
      <c r="B35" s="133"/>
      <c r="C35" s="126" t="s">
        <v>288</v>
      </c>
    </row>
    <row r="36" spans="1:3" x14ac:dyDescent="0.2">
      <c r="A36" s="123">
        <v>35</v>
      </c>
      <c r="B36" s="124" t="s">
        <v>295</v>
      </c>
      <c r="C36" s="126" t="s">
        <v>290</v>
      </c>
    </row>
    <row r="37" spans="1:3" x14ac:dyDescent="0.2">
      <c r="A37" s="123">
        <v>36</v>
      </c>
      <c r="B37" s="133" t="s">
        <v>296</v>
      </c>
      <c r="C37" s="126" t="s">
        <v>288</v>
      </c>
    </row>
    <row r="38" spans="1:3" x14ac:dyDescent="0.2">
      <c r="A38" s="123">
        <v>37</v>
      </c>
      <c r="B38" s="133"/>
      <c r="C38" s="126" t="s">
        <v>289</v>
      </c>
    </row>
    <row r="39" spans="1:3" x14ac:dyDescent="0.2">
      <c r="A39" s="123">
        <v>38</v>
      </c>
      <c r="B39" s="133"/>
      <c r="C39" s="126" t="s">
        <v>290</v>
      </c>
    </row>
    <row r="40" spans="1:3" x14ac:dyDescent="0.2">
      <c r="A40" s="123">
        <v>39</v>
      </c>
      <c r="B40" s="124" t="s">
        <v>297</v>
      </c>
      <c r="C40" s="126" t="s">
        <v>292</v>
      </c>
    </row>
    <row r="41" spans="1:3" x14ac:dyDescent="0.2">
      <c r="A41" s="123">
        <v>40</v>
      </c>
      <c r="B41" s="127" t="s">
        <v>298</v>
      </c>
      <c r="C41" s="126" t="s">
        <v>292</v>
      </c>
    </row>
    <row r="42" spans="1:3" x14ac:dyDescent="0.2">
      <c r="A42" s="123">
        <v>41</v>
      </c>
      <c r="B42" s="124" t="s">
        <v>299</v>
      </c>
      <c r="C42" s="126" t="s">
        <v>300</v>
      </c>
    </row>
    <row r="43" spans="1:3" x14ac:dyDescent="0.2">
      <c r="A43" s="123">
        <v>42</v>
      </c>
      <c r="B43" s="128" t="s">
        <v>301</v>
      </c>
      <c r="C43" s="126" t="s">
        <v>302</v>
      </c>
    </row>
    <row r="44" spans="1:3" x14ac:dyDescent="0.2">
      <c r="A44" s="123">
        <v>43</v>
      </c>
      <c r="B44" s="128" t="s">
        <v>303</v>
      </c>
      <c r="C44" s="126" t="s">
        <v>304</v>
      </c>
    </row>
    <row r="45" spans="1:3" x14ac:dyDescent="0.2">
      <c r="A45" s="123">
        <v>44</v>
      </c>
      <c r="B45" s="134" t="s">
        <v>305</v>
      </c>
      <c r="C45" s="126" t="s">
        <v>306</v>
      </c>
    </row>
    <row r="46" spans="1:3" x14ac:dyDescent="0.2">
      <c r="A46" s="123">
        <v>45</v>
      </c>
      <c r="B46" s="134"/>
      <c r="C46" s="126" t="s">
        <v>292</v>
      </c>
    </row>
    <row r="47" spans="1:3" x14ac:dyDescent="0.2">
      <c r="A47" s="123">
        <v>46</v>
      </c>
      <c r="B47" s="134"/>
      <c r="C47" s="126" t="s">
        <v>290</v>
      </c>
    </row>
    <row r="48" spans="1:3" x14ac:dyDescent="0.2">
      <c r="A48" s="123">
        <v>47</v>
      </c>
      <c r="B48" s="134"/>
      <c r="C48" s="126" t="s">
        <v>307</v>
      </c>
    </row>
    <row r="49" spans="1:3" x14ac:dyDescent="0.2">
      <c r="A49" s="123">
        <v>48</v>
      </c>
      <c r="B49" s="134"/>
      <c r="C49" s="126" t="s">
        <v>308</v>
      </c>
    </row>
    <row r="50" spans="1:3" x14ac:dyDescent="0.2">
      <c r="A50" s="123">
        <v>49</v>
      </c>
      <c r="B50" s="134"/>
      <c r="C50" s="126" t="s">
        <v>309</v>
      </c>
    </row>
    <row r="51" spans="1:3" x14ac:dyDescent="0.2">
      <c r="A51" s="123">
        <v>50</v>
      </c>
      <c r="B51" s="129" t="s">
        <v>310</v>
      </c>
      <c r="C51" s="126" t="s">
        <v>311</v>
      </c>
    </row>
    <row r="52" spans="1:3" x14ac:dyDescent="0.2">
      <c r="A52" s="123">
        <v>51</v>
      </c>
      <c r="B52" s="130" t="s">
        <v>312</v>
      </c>
      <c r="C52" s="26" t="s">
        <v>311</v>
      </c>
    </row>
    <row r="53" spans="1:3" x14ac:dyDescent="0.2">
      <c r="A53" s="123">
        <v>52</v>
      </c>
      <c r="B53" s="135" t="s">
        <v>313</v>
      </c>
      <c r="C53" s="131" t="s">
        <v>314</v>
      </c>
    </row>
    <row r="54" spans="1:3" x14ac:dyDescent="0.2">
      <c r="A54" s="123">
        <v>53</v>
      </c>
      <c r="B54" s="135"/>
      <c r="C54" s="131" t="s">
        <v>315</v>
      </c>
    </row>
    <row r="55" spans="1:3" x14ac:dyDescent="0.2">
      <c r="A55" s="123">
        <v>54</v>
      </c>
      <c r="B55" s="135"/>
      <c r="C55" s="131" t="s">
        <v>316</v>
      </c>
    </row>
    <row r="56" spans="1:3" x14ac:dyDescent="0.2">
      <c r="A56" s="123">
        <v>55</v>
      </c>
      <c r="B56" s="135"/>
      <c r="C56" s="131" t="s">
        <v>317</v>
      </c>
    </row>
    <row r="57" spans="1:3" x14ac:dyDescent="0.2">
      <c r="A57" s="123">
        <v>56</v>
      </c>
      <c r="B57" s="135"/>
      <c r="C57" s="131" t="s">
        <v>318</v>
      </c>
    </row>
    <row r="58" spans="1:3" x14ac:dyDescent="0.2">
      <c r="A58" s="123">
        <v>57</v>
      </c>
      <c r="B58" s="135"/>
      <c r="C58" s="131" t="s">
        <v>319</v>
      </c>
    </row>
    <row r="59" spans="1:3" x14ac:dyDescent="0.2">
      <c r="A59" s="123">
        <v>58</v>
      </c>
      <c r="B59" s="135"/>
      <c r="C59" s="131" t="s">
        <v>320</v>
      </c>
    </row>
    <row r="60" spans="1:3" x14ac:dyDescent="0.2">
      <c r="A60" s="123">
        <v>59</v>
      </c>
      <c r="B60" s="135"/>
      <c r="C60" s="131" t="s">
        <v>321</v>
      </c>
    </row>
    <row r="61" spans="1:3" x14ac:dyDescent="0.2">
      <c r="A61" s="123">
        <v>60</v>
      </c>
      <c r="B61" s="135"/>
      <c r="C61" s="131" t="s">
        <v>300</v>
      </c>
    </row>
    <row r="62" spans="1:3" x14ac:dyDescent="0.2">
      <c r="A62" s="123">
        <v>61</v>
      </c>
      <c r="B62" s="123" t="s">
        <v>322</v>
      </c>
      <c r="C62" s="26" t="s">
        <v>323</v>
      </c>
    </row>
    <row r="63" spans="1:3" x14ac:dyDescent="0.2">
      <c r="A63" s="123">
        <v>62</v>
      </c>
      <c r="B63" s="123" t="s">
        <v>324</v>
      </c>
      <c r="C63" s="26" t="s">
        <v>323</v>
      </c>
    </row>
    <row r="64" spans="1:3" x14ac:dyDescent="0.2">
      <c r="A64" s="123">
        <v>63</v>
      </c>
      <c r="B64" s="123" t="s">
        <v>325</v>
      </c>
      <c r="C64" s="26" t="s">
        <v>323</v>
      </c>
    </row>
    <row r="65" spans="1:3" x14ac:dyDescent="0.2">
      <c r="A65" s="123">
        <v>65</v>
      </c>
      <c r="B65" s="123" t="s">
        <v>326</v>
      </c>
      <c r="C65" s="131" t="s">
        <v>327</v>
      </c>
    </row>
    <row r="66" spans="1:3" x14ac:dyDescent="0.2">
      <c r="A66" s="123">
        <v>66</v>
      </c>
      <c r="B66" s="123" t="s">
        <v>328</v>
      </c>
      <c r="C66" s="131" t="s">
        <v>329</v>
      </c>
    </row>
    <row r="67" spans="1:3" x14ac:dyDescent="0.2">
      <c r="A67" s="123">
        <v>67</v>
      </c>
      <c r="B67" s="123" t="s">
        <v>330</v>
      </c>
      <c r="C67" s="131" t="s">
        <v>329</v>
      </c>
    </row>
    <row r="68" spans="1:3" x14ac:dyDescent="0.2">
      <c r="A68" s="123">
        <v>68</v>
      </c>
      <c r="B68" s="123" t="s">
        <v>331</v>
      </c>
      <c r="C68" s="131" t="s">
        <v>329</v>
      </c>
    </row>
    <row r="69" spans="1:3" x14ac:dyDescent="0.2">
      <c r="A69" s="123">
        <v>69</v>
      </c>
      <c r="B69" s="123" t="s">
        <v>332</v>
      </c>
      <c r="C69" s="131" t="s">
        <v>333</v>
      </c>
    </row>
    <row r="70" spans="1:3" x14ac:dyDescent="0.2">
      <c r="A70" s="123">
        <v>70</v>
      </c>
      <c r="B70" s="123" t="s">
        <v>334</v>
      </c>
      <c r="C70" s="131" t="s">
        <v>335</v>
      </c>
    </row>
    <row r="71" spans="1:3" x14ac:dyDescent="0.2">
      <c r="A71" s="124">
        <v>71</v>
      </c>
      <c r="B71" s="123" t="s">
        <v>336</v>
      </c>
      <c r="C71" s="26" t="s">
        <v>337</v>
      </c>
    </row>
  </sheetData>
  <mergeCells count="11">
    <mergeCell ref="B23:B24"/>
    <mergeCell ref="B3:B7"/>
    <mergeCell ref="B8:B9"/>
    <mergeCell ref="B10:B11"/>
    <mergeCell ref="B12:B15"/>
    <mergeCell ref="B16:B21"/>
    <mergeCell ref="B27:B31"/>
    <mergeCell ref="B32:B35"/>
    <mergeCell ref="B37:B39"/>
    <mergeCell ref="B45:B50"/>
    <mergeCell ref="B53:B61"/>
  </mergeCells>
  <phoneticPr fontId="3" type="noConversion"/>
  <hyperlinks>
    <hyperlink ref="C52" location="office365!A1" display="微软"/>
    <hyperlink ref="C71" location="Zoom!A1" display="Zoom"/>
    <hyperlink ref="C63" location="'SD-WAN'!A1" display="润网"/>
    <hyperlink ref="C64" location="国际路由优化!A1" display="易声"/>
    <hyperlink ref="C12:C15" location="语音网关!A1" display="迅时"/>
    <hyperlink ref="C62" location="ISP!A1" display="润网"/>
  </hyperlink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H17" sqref="H17"/>
    </sheetView>
  </sheetViews>
  <sheetFormatPr defaultRowHeight="14.25" x14ac:dyDescent="0.2"/>
  <cols>
    <col min="1" max="1" width="20.5" customWidth="1"/>
    <col min="3" max="3" width="15.625" customWidth="1"/>
    <col min="6" max="6" width="13" customWidth="1"/>
    <col min="7" max="7" width="13.125" customWidth="1"/>
    <col min="8" max="8" width="60.875" customWidth="1"/>
  </cols>
  <sheetData>
    <row r="1" spans="1:8" x14ac:dyDescent="0.2">
      <c r="A1" s="15" t="s">
        <v>41</v>
      </c>
      <c r="B1" s="15" t="s">
        <v>42</v>
      </c>
      <c r="C1" s="15" t="s">
        <v>233</v>
      </c>
      <c r="D1" s="10" t="s">
        <v>73</v>
      </c>
      <c r="E1" s="110" t="s">
        <v>229</v>
      </c>
      <c r="F1" s="111" t="s">
        <v>232</v>
      </c>
      <c r="G1" s="111" t="s">
        <v>230</v>
      </c>
      <c r="H1" s="11" t="s">
        <v>231</v>
      </c>
    </row>
    <row r="2" spans="1:8" x14ac:dyDescent="0.2">
      <c r="A2" s="112" t="s">
        <v>251</v>
      </c>
      <c r="B2" s="112" t="s">
        <v>78</v>
      </c>
      <c r="C2" s="112" t="s">
        <v>234</v>
      </c>
      <c r="D2" s="113" t="s">
        <v>217</v>
      </c>
      <c r="E2" s="110">
        <v>486</v>
      </c>
      <c r="F2" s="114">
        <v>380</v>
      </c>
      <c r="G2" s="110">
        <v>300</v>
      </c>
      <c r="H2" s="20" t="s">
        <v>218</v>
      </c>
    </row>
    <row r="3" spans="1:8" x14ac:dyDescent="0.2">
      <c r="A3" s="112" t="s">
        <v>252</v>
      </c>
      <c r="B3" s="112" t="s">
        <v>78</v>
      </c>
      <c r="C3" s="112" t="s">
        <v>235</v>
      </c>
      <c r="D3" s="113" t="s">
        <v>217</v>
      </c>
      <c r="E3" s="110">
        <v>750</v>
      </c>
      <c r="F3" s="114">
        <v>610</v>
      </c>
      <c r="G3" s="110">
        <v>300</v>
      </c>
      <c r="H3" s="20" t="s">
        <v>219</v>
      </c>
    </row>
    <row r="4" spans="1:8" x14ac:dyDescent="0.2">
      <c r="A4" s="112" t="s">
        <v>253</v>
      </c>
      <c r="B4" s="112" t="s">
        <v>78</v>
      </c>
      <c r="C4" s="112" t="s">
        <v>236</v>
      </c>
      <c r="D4" s="113" t="s">
        <v>217</v>
      </c>
      <c r="E4" s="110">
        <v>1380</v>
      </c>
      <c r="F4" s="114">
        <v>1260</v>
      </c>
      <c r="G4" s="110">
        <v>400</v>
      </c>
      <c r="H4" s="20" t="s">
        <v>220</v>
      </c>
    </row>
    <row r="5" spans="1:8" x14ac:dyDescent="0.2">
      <c r="A5" s="117" t="s">
        <v>254</v>
      </c>
      <c r="B5" s="112" t="s">
        <v>78</v>
      </c>
      <c r="C5" s="112" t="s">
        <v>237</v>
      </c>
      <c r="D5" s="113" t="s">
        <v>217</v>
      </c>
      <c r="E5" s="110">
        <v>2720</v>
      </c>
      <c r="F5" s="114">
        <v>2580</v>
      </c>
      <c r="G5" s="110">
        <v>800</v>
      </c>
      <c r="H5" s="20" t="s">
        <v>221</v>
      </c>
    </row>
    <row r="6" spans="1:8" x14ac:dyDescent="0.2">
      <c r="A6" s="112" t="s">
        <v>255</v>
      </c>
      <c r="B6" s="112" t="s">
        <v>78</v>
      </c>
      <c r="C6" s="112" t="s">
        <v>238</v>
      </c>
      <c r="D6" s="113" t="s">
        <v>217</v>
      </c>
      <c r="E6" s="110">
        <v>5380</v>
      </c>
      <c r="F6" s="114">
        <v>4980</v>
      </c>
      <c r="G6" s="110">
        <v>800</v>
      </c>
      <c r="H6" s="20" t="s">
        <v>222</v>
      </c>
    </row>
    <row r="7" spans="1:8" x14ac:dyDescent="0.2">
      <c r="A7" s="112" t="s">
        <v>256</v>
      </c>
      <c r="B7" s="112" t="s">
        <v>78</v>
      </c>
      <c r="C7" s="112" t="s">
        <v>239</v>
      </c>
      <c r="D7" s="113" t="s">
        <v>217</v>
      </c>
      <c r="E7" s="110">
        <v>8640</v>
      </c>
      <c r="F7" s="114">
        <v>7080</v>
      </c>
      <c r="G7" s="110">
        <v>800</v>
      </c>
      <c r="H7" s="20" t="s">
        <v>223</v>
      </c>
    </row>
    <row r="8" spans="1:8" x14ac:dyDescent="0.2">
      <c r="A8" s="112" t="s">
        <v>252</v>
      </c>
      <c r="B8" s="112" t="s">
        <v>77</v>
      </c>
      <c r="C8" s="112" t="s">
        <v>240</v>
      </c>
      <c r="D8" s="113" t="s">
        <v>217</v>
      </c>
      <c r="E8" s="110">
        <v>745</v>
      </c>
      <c r="F8" s="114">
        <v>590</v>
      </c>
      <c r="G8" s="110">
        <v>300</v>
      </c>
      <c r="H8" s="20" t="s">
        <v>219</v>
      </c>
    </row>
    <row r="9" spans="1:8" x14ac:dyDescent="0.2">
      <c r="A9" s="112" t="s">
        <v>253</v>
      </c>
      <c r="B9" s="112" t="s">
        <v>77</v>
      </c>
      <c r="C9" s="112" t="s">
        <v>241</v>
      </c>
      <c r="D9" s="113" t="s">
        <v>217</v>
      </c>
      <c r="E9" s="110">
        <v>1350</v>
      </c>
      <c r="F9" s="114">
        <v>1250</v>
      </c>
      <c r="G9" s="110">
        <v>400</v>
      </c>
      <c r="H9" s="20" t="s">
        <v>220</v>
      </c>
    </row>
    <row r="10" spans="1:8" x14ac:dyDescent="0.2">
      <c r="A10" s="112" t="s">
        <v>257</v>
      </c>
      <c r="B10" s="112" t="s">
        <v>77</v>
      </c>
      <c r="C10" s="112" t="s">
        <v>242</v>
      </c>
      <c r="D10" s="113" t="s">
        <v>217</v>
      </c>
      <c r="E10" s="116">
        <v>2650</v>
      </c>
      <c r="F10" s="114">
        <v>2480</v>
      </c>
      <c r="G10" s="110">
        <v>800</v>
      </c>
      <c r="H10" s="20" t="s">
        <v>221</v>
      </c>
    </row>
    <row r="11" spans="1:8" x14ac:dyDescent="0.2">
      <c r="A11" s="117" t="s">
        <v>258</v>
      </c>
      <c r="B11" s="112" t="s">
        <v>77</v>
      </c>
      <c r="C11" s="112" t="s">
        <v>243</v>
      </c>
      <c r="D11" s="113" t="s">
        <v>217</v>
      </c>
      <c r="E11" s="110">
        <v>5180</v>
      </c>
      <c r="F11" s="114">
        <v>4580</v>
      </c>
      <c r="G11" s="110">
        <v>800</v>
      </c>
      <c r="H11" s="20" t="s">
        <v>222</v>
      </c>
    </row>
    <row r="12" spans="1:8" x14ac:dyDescent="0.2">
      <c r="A12" s="112" t="s">
        <v>251</v>
      </c>
      <c r="B12" s="112" t="s">
        <v>224</v>
      </c>
      <c r="C12" s="112" t="s">
        <v>244</v>
      </c>
      <c r="D12" s="113" t="s">
        <v>217</v>
      </c>
      <c r="E12" s="110">
        <v>486</v>
      </c>
      <c r="F12" s="114">
        <v>380</v>
      </c>
      <c r="G12" s="110">
        <v>300</v>
      </c>
      <c r="H12" s="20" t="s">
        <v>218</v>
      </c>
    </row>
    <row r="13" spans="1:8" x14ac:dyDescent="0.2">
      <c r="A13" s="112" t="s">
        <v>255</v>
      </c>
      <c r="B13" s="112" t="s">
        <v>224</v>
      </c>
      <c r="C13" s="112" t="s">
        <v>245</v>
      </c>
      <c r="D13" s="113" t="s">
        <v>217</v>
      </c>
      <c r="E13" s="110">
        <v>5180</v>
      </c>
      <c r="F13" s="115">
        <v>4880</v>
      </c>
      <c r="G13" s="110">
        <v>800</v>
      </c>
      <c r="H13" s="20" t="s">
        <v>222</v>
      </c>
    </row>
    <row r="14" spans="1:8" x14ac:dyDescent="0.2">
      <c r="A14" s="112" t="s">
        <v>256</v>
      </c>
      <c r="B14" s="112" t="s">
        <v>224</v>
      </c>
      <c r="C14" s="112" t="s">
        <v>246</v>
      </c>
      <c r="D14" s="113" t="s">
        <v>217</v>
      </c>
      <c r="E14" s="110">
        <v>8640</v>
      </c>
      <c r="F14" s="114">
        <v>6880</v>
      </c>
      <c r="G14" s="110">
        <v>800</v>
      </c>
      <c r="H14" s="20" t="s">
        <v>223</v>
      </c>
    </row>
    <row r="15" spans="1:8" x14ac:dyDescent="0.2">
      <c r="A15" s="112" t="s">
        <v>259</v>
      </c>
      <c r="B15" s="112" t="s">
        <v>224</v>
      </c>
      <c r="C15" s="112" t="s">
        <v>247</v>
      </c>
      <c r="D15" s="113" t="s">
        <v>217</v>
      </c>
      <c r="E15" s="110">
        <v>10500</v>
      </c>
      <c r="F15" s="114">
        <v>9900</v>
      </c>
      <c r="G15" s="110">
        <v>800</v>
      </c>
      <c r="H15" s="20" t="s">
        <v>225</v>
      </c>
    </row>
    <row r="16" spans="1:8" ht="38.25" x14ac:dyDescent="0.2">
      <c r="A16" s="112" t="s">
        <v>250</v>
      </c>
      <c r="B16" s="112" t="s">
        <v>79</v>
      </c>
      <c r="C16" s="112" t="s">
        <v>248</v>
      </c>
      <c r="D16" s="113" t="s">
        <v>217</v>
      </c>
      <c r="E16" s="110">
        <v>360</v>
      </c>
      <c r="F16" s="114">
        <v>300</v>
      </c>
      <c r="G16" s="110">
        <v>50</v>
      </c>
      <c r="H16" s="20" t="s">
        <v>226</v>
      </c>
    </row>
    <row r="17" spans="1:8" ht="76.5" x14ac:dyDescent="0.2">
      <c r="A17" s="112" t="s">
        <v>250</v>
      </c>
      <c r="B17" s="112" t="s">
        <v>227</v>
      </c>
      <c r="C17" s="112" t="s">
        <v>249</v>
      </c>
      <c r="D17" s="113" t="s">
        <v>217</v>
      </c>
      <c r="E17" s="110">
        <v>360</v>
      </c>
      <c r="F17" s="114">
        <v>300</v>
      </c>
      <c r="G17" s="110">
        <v>50</v>
      </c>
      <c r="H17" s="20" t="s">
        <v>228</v>
      </c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opLeftCell="G25" workbookViewId="0">
      <selection activeCell="E35" sqref="E35"/>
    </sheetView>
  </sheetViews>
  <sheetFormatPr defaultColWidth="9.125" defaultRowHeight="12.75" x14ac:dyDescent="0.2"/>
  <cols>
    <col min="1" max="3" width="11.5" style="1" customWidth="1"/>
    <col min="4" max="4" width="36.5" style="1" customWidth="1"/>
    <col min="5" max="5" width="14.25" style="1" customWidth="1"/>
    <col min="6" max="6" width="9.625" style="1" customWidth="1"/>
    <col min="7" max="8" width="9.75" style="4" customWidth="1"/>
    <col min="9" max="9" width="67.75" style="3" customWidth="1"/>
    <col min="10" max="16384" width="9.125" style="1"/>
  </cols>
  <sheetData>
    <row r="1" spans="1:10" s="10" customFormat="1" ht="25.5" x14ac:dyDescent="0.2">
      <c r="A1" s="12" t="s">
        <v>39</v>
      </c>
      <c r="B1" s="12" t="s">
        <v>42</v>
      </c>
      <c r="C1" s="12" t="s">
        <v>44</v>
      </c>
      <c r="D1" s="10" t="s">
        <v>41</v>
      </c>
      <c r="E1" s="10" t="s">
        <v>50</v>
      </c>
      <c r="F1" s="10" t="s">
        <v>73</v>
      </c>
      <c r="G1" s="13" t="s">
        <v>156</v>
      </c>
      <c r="H1" s="13" t="s">
        <v>157</v>
      </c>
      <c r="I1" s="11" t="s">
        <v>49</v>
      </c>
      <c r="J1" s="10" t="s">
        <v>190</v>
      </c>
    </row>
    <row r="2" spans="1:10" s="81" customFormat="1" x14ac:dyDescent="0.2">
      <c r="A2" s="75"/>
      <c r="B2" s="76" t="s">
        <v>43</v>
      </c>
      <c r="C2" s="76" t="s">
        <v>47</v>
      </c>
      <c r="D2" s="8" t="s">
        <v>40</v>
      </c>
      <c r="E2" s="8" t="s">
        <v>56</v>
      </c>
      <c r="F2" s="77" t="s">
        <v>75</v>
      </c>
      <c r="G2" s="78">
        <v>26</v>
      </c>
      <c r="H2" s="78">
        <f>Table5[[#This Row],[单价
（元/月）]]*12</f>
        <v>312</v>
      </c>
      <c r="I2" s="79" t="s">
        <v>0</v>
      </c>
      <c r="J2" s="8"/>
    </row>
    <row r="3" spans="1:10" ht="25.5" x14ac:dyDescent="0.2">
      <c r="A3" s="5"/>
      <c r="B3" s="14" t="s">
        <v>43</v>
      </c>
      <c r="C3" s="14" t="s">
        <v>47</v>
      </c>
      <c r="D3" s="1" t="s">
        <v>45</v>
      </c>
      <c r="E3" s="1" t="s">
        <v>56</v>
      </c>
      <c r="F3" s="10" t="s">
        <v>75</v>
      </c>
      <c r="G3" s="3">
        <v>52</v>
      </c>
      <c r="H3" s="19">
        <f>Table5[[#This Row],[单价
（元/月）]]*12</f>
        <v>624</v>
      </c>
      <c r="I3" s="9" t="s">
        <v>1</v>
      </c>
    </row>
    <row r="4" spans="1:10" x14ac:dyDescent="0.2">
      <c r="A4" s="5"/>
      <c r="B4" s="14" t="s">
        <v>43</v>
      </c>
      <c r="C4" s="14" t="s">
        <v>46</v>
      </c>
      <c r="D4" s="1" t="s">
        <v>2</v>
      </c>
      <c r="E4" s="1" t="s">
        <v>56</v>
      </c>
      <c r="F4" s="10" t="s">
        <v>75</v>
      </c>
      <c r="G4" s="3">
        <v>20</v>
      </c>
      <c r="H4" s="19">
        <f>Table5[[#This Row],[单价
（元/月）]]*12</f>
        <v>240</v>
      </c>
      <c r="I4" s="9" t="s">
        <v>3</v>
      </c>
    </row>
    <row r="5" spans="1:10" x14ac:dyDescent="0.2">
      <c r="A5" s="5"/>
      <c r="B5" s="14" t="s">
        <v>43</v>
      </c>
      <c r="C5" s="14" t="s">
        <v>46</v>
      </c>
      <c r="D5" s="1" t="s">
        <v>4</v>
      </c>
      <c r="E5" s="1" t="s">
        <v>56</v>
      </c>
      <c r="F5" s="10" t="s">
        <v>75</v>
      </c>
      <c r="G5" s="3">
        <v>13</v>
      </c>
      <c r="H5" s="19">
        <f>Table5[[#This Row],[单价
（元/月）]]*12</f>
        <v>156</v>
      </c>
      <c r="I5" s="9" t="s">
        <v>5</v>
      </c>
    </row>
    <row r="6" spans="1:10" ht="25.5" x14ac:dyDescent="0.2">
      <c r="A6" s="5"/>
      <c r="B6" s="14" t="s">
        <v>43</v>
      </c>
      <c r="C6" s="14" t="s">
        <v>46</v>
      </c>
      <c r="D6" s="1" t="s">
        <v>6</v>
      </c>
      <c r="E6" s="1" t="s">
        <v>56</v>
      </c>
      <c r="F6" s="10" t="s">
        <v>75</v>
      </c>
      <c r="G6" s="3">
        <v>7</v>
      </c>
      <c r="H6" s="19">
        <f>Table5[[#This Row],[单价
（元/月）]]*12</f>
        <v>84</v>
      </c>
      <c r="I6" s="9" t="s">
        <v>7</v>
      </c>
    </row>
    <row r="7" spans="1:10" s="81" customFormat="1" ht="25.5" x14ac:dyDescent="0.2">
      <c r="A7" s="75"/>
      <c r="B7" s="76" t="s">
        <v>43</v>
      </c>
      <c r="C7" s="76" t="s">
        <v>46</v>
      </c>
      <c r="D7" s="22" t="s">
        <v>343</v>
      </c>
      <c r="E7" s="8" t="s">
        <v>56</v>
      </c>
      <c r="F7" s="77" t="s">
        <v>75</v>
      </c>
      <c r="G7" s="78">
        <v>54</v>
      </c>
      <c r="H7" s="78">
        <f>Table5[[#This Row],[单价
（元/月）]]*12</f>
        <v>648</v>
      </c>
      <c r="I7" s="79" t="s">
        <v>355</v>
      </c>
      <c r="J7" s="8"/>
    </row>
    <row r="8" spans="1:10" ht="25.5" x14ac:dyDescent="0.2">
      <c r="A8" s="5"/>
      <c r="B8" s="14" t="s">
        <v>43</v>
      </c>
      <c r="C8" s="14" t="s">
        <v>46</v>
      </c>
      <c r="D8" s="15" t="s">
        <v>344</v>
      </c>
      <c r="E8" s="1" t="s">
        <v>56</v>
      </c>
      <c r="F8" s="10" t="s">
        <v>75</v>
      </c>
      <c r="G8" s="3">
        <v>33</v>
      </c>
      <c r="H8" s="19">
        <f>Table5[[#This Row],[单价
（元/月）]]*12</f>
        <v>396</v>
      </c>
      <c r="I8" s="2" t="s">
        <v>8</v>
      </c>
    </row>
    <row r="9" spans="1:10" s="81" customFormat="1" ht="25.5" x14ac:dyDescent="0.2">
      <c r="A9" s="75"/>
      <c r="B9" s="76" t="s">
        <v>43</v>
      </c>
      <c r="C9" s="76" t="s">
        <v>46</v>
      </c>
      <c r="D9" s="73" t="s">
        <v>345</v>
      </c>
      <c r="E9" s="8" t="s">
        <v>56</v>
      </c>
      <c r="F9" s="77" t="s">
        <v>75</v>
      </c>
      <c r="G9" s="78">
        <v>82</v>
      </c>
      <c r="H9" s="78">
        <f>Table5[[#This Row],[单价
（元/月）]]*12</f>
        <v>984</v>
      </c>
      <c r="I9" s="80" t="s">
        <v>354</v>
      </c>
      <c r="J9" s="8"/>
    </row>
    <row r="10" spans="1:10" ht="25.5" x14ac:dyDescent="0.2">
      <c r="A10" s="5"/>
      <c r="B10" s="14" t="s">
        <v>43</v>
      </c>
      <c r="C10" s="14" t="s">
        <v>46</v>
      </c>
      <c r="D10" s="15" t="s">
        <v>346</v>
      </c>
      <c r="E10" s="1" t="s">
        <v>56</v>
      </c>
      <c r="F10" s="10" t="s">
        <v>75</v>
      </c>
      <c r="G10" s="3">
        <v>78</v>
      </c>
      <c r="H10" s="19">
        <f>Table5[[#This Row],[单价
（元/月）]]*12</f>
        <v>936</v>
      </c>
      <c r="I10" s="2" t="s">
        <v>9</v>
      </c>
    </row>
    <row r="11" spans="1:10" x14ac:dyDescent="0.2">
      <c r="A11" s="5"/>
      <c r="B11" s="14" t="s">
        <v>43</v>
      </c>
      <c r="C11" s="14" t="s">
        <v>46</v>
      </c>
      <c r="D11" s="1" t="s">
        <v>10</v>
      </c>
      <c r="E11" s="1" t="s">
        <v>56</v>
      </c>
      <c r="F11" s="10" t="s">
        <v>75</v>
      </c>
      <c r="G11" s="3">
        <v>52</v>
      </c>
      <c r="H11" s="19">
        <f>Table5[[#This Row],[单价
（元/月）]]*12</f>
        <v>624</v>
      </c>
      <c r="I11" s="2" t="s">
        <v>11</v>
      </c>
    </row>
    <row r="12" spans="1:10" ht="25.5" x14ac:dyDescent="0.2">
      <c r="A12" s="5"/>
      <c r="B12" s="14" t="s">
        <v>43</v>
      </c>
      <c r="C12" s="14" t="s">
        <v>46</v>
      </c>
      <c r="D12" s="1" t="s">
        <v>12</v>
      </c>
      <c r="E12" s="1" t="s">
        <v>56</v>
      </c>
      <c r="F12" s="10" t="s">
        <v>75</v>
      </c>
      <c r="G12" s="3">
        <v>131</v>
      </c>
      <c r="H12" s="19">
        <f>Table5[[#This Row],[单价
（元/月）]]*12</f>
        <v>1572</v>
      </c>
      <c r="I12" s="2" t="s">
        <v>13</v>
      </c>
    </row>
    <row r="13" spans="1:10" ht="38.25" x14ac:dyDescent="0.2">
      <c r="A13" s="5"/>
      <c r="B13" s="14" t="s">
        <v>43</v>
      </c>
      <c r="C13" s="14" t="s">
        <v>46</v>
      </c>
      <c r="D13" s="1" t="s">
        <v>48</v>
      </c>
      <c r="E13" s="1" t="s">
        <v>56</v>
      </c>
      <c r="F13" s="10" t="s">
        <v>75</v>
      </c>
      <c r="G13" s="3">
        <v>26</v>
      </c>
      <c r="H13" s="19">
        <f>Table5[[#This Row],[单价
（元/月）]]*12</f>
        <v>312</v>
      </c>
      <c r="I13" s="2" t="s">
        <v>14</v>
      </c>
    </row>
    <row r="14" spans="1:10" x14ac:dyDescent="0.2">
      <c r="A14" s="5"/>
      <c r="B14" s="14" t="s">
        <v>43</v>
      </c>
      <c r="C14" s="14" t="s">
        <v>46</v>
      </c>
      <c r="D14" s="1" t="s">
        <v>15</v>
      </c>
      <c r="E14" s="1" t="s">
        <v>56</v>
      </c>
      <c r="F14" s="10" t="s">
        <v>75</v>
      </c>
      <c r="G14" s="3">
        <v>33</v>
      </c>
      <c r="H14" s="19">
        <f>Table5[[#This Row],[单价
（元/月）]]*12</f>
        <v>396</v>
      </c>
      <c r="I14" s="2" t="s">
        <v>16</v>
      </c>
    </row>
    <row r="15" spans="1:10" x14ac:dyDescent="0.2">
      <c r="A15" s="5"/>
      <c r="B15" s="14" t="s">
        <v>43</v>
      </c>
      <c r="C15" s="14" t="s">
        <v>46</v>
      </c>
      <c r="D15" s="1" t="s">
        <v>17</v>
      </c>
      <c r="E15" s="1" t="s">
        <v>56</v>
      </c>
      <c r="F15" s="10" t="s">
        <v>75</v>
      </c>
      <c r="G15" s="3">
        <v>33</v>
      </c>
      <c r="H15" s="19">
        <f>Table5[[#This Row],[单价
（元/月）]]*12</f>
        <v>396</v>
      </c>
      <c r="I15" s="2" t="s">
        <v>18</v>
      </c>
    </row>
    <row r="16" spans="1:10" ht="25.5" x14ac:dyDescent="0.2">
      <c r="A16" s="5"/>
      <c r="B16" s="14" t="s">
        <v>43</v>
      </c>
      <c r="C16" s="14" t="s">
        <v>46</v>
      </c>
      <c r="D16" s="1" t="s">
        <v>19</v>
      </c>
      <c r="E16" s="1" t="s">
        <v>56</v>
      </c>
      <c r="F16" s="10" t="s">
        <v>75</v>
      </c>
      <c r="G16" s="3">
        <v>65</v>
      </c>
      <c r="H16" s="19">
        <f>Table5[[#This Row],[单价
（元/月）]]*12</f>
        <v>780</v>
      </c>
      <c r="I16" s="2" t="s">
        <v>20</v>
      </c>
    </row>
    <row r="17" spans="1:9" x14ac:dyDescent="0.2">
      <c r="A17" s="5"/>
      <c r="B17" s="14" t="s">
        <v>43</v>
      </c>
      <c r="C17" s="14" t="s">
        <v>46</v>
      </c>
      <c r="D17" s="15" t="s">
        <v>21</v>
      </c>
      <c r="E17" s="1" t="s">
        <v>56</v>
      </c>
      <c r="F17" s="10" t="s">
        <v>75</v>
      </c>
      <c r="G17" s="3">
        <v>1.25</v>
      </c>
      <c r="H17" s="19">
        <f>Table5[[#This Row],[单价
（元/月）]]*12</f>
        <v>15</v>
      </c>
      <c r="I17" s="2" t="s">
        <v>22</v>
      </c>
    </row>
    <row r="18" spans="1:9" ht="25.5" x14ac:dyDescent="0.2">
      <c r="A18" s="5"/>
      <c r="B18" s="14" t="s">
        <v>43</v>
      </c>
      <c r="C18" s="14" t="s">
        <v>46</v>
      </c>
      <c r="D18" s="1" t="s">
        <v>23</v>
      </c>
      <c r="E18" s="1" t="s">
        <v>56</v>
      </c>
      <c r="F18" s="10" t="s">
        <v>75</v>
      </c>
      <c r="G18" s="3">
        <v>13</v>
      </c>
      <c r="H18" s="19">
        <f>Table5[[#This Row],[单价
（元/月）]]*12</f>
        <v>156</v>
      </c>
      <c r="I18" s="2" t="s">
        <v>24</v>
      </c>
    </row>
    <row r="19" spans="1:9" ht="25.5" x14ac:dyDescent="0.2">
      <c r="A19" s="5"/>
      <c r="B19" s="14" t="s">
        <v>43</v>
      </c>
      <c r="C19" s="14" t="s">
        <v>46</v>
      </c>
      <c r="D19" s="1" t="s">
        <v>25</v>
      </c>
      <c r="E19" s="1" t="s">
        <v>56</v>
      </c>
      <c r="F19" s="10" t="s">
        <v>75</v>
      </c>
      <c r="G19" s="3">
        <v>36</v>
      </c>
      <c r="H19" s="19">
        <f>Table5[[#This Row],[单价
（元/月）]]*12</f>
        <v>432</v>
      </c>
      <c r="I19" s="2" t="s">
        <v>26</v>
      </c>
    </row>
    <row r="20" spans="1:9" x14ac:dyDescent="0.2">
      <c r="A20" s="7"/>
      <c r="B20" s="14" t="s">
        <v>43</v>
      </c>
      <c r="C20" s="14" t="s">
        <v>46</v>
      </c>
      <c r="D20" s="1" t="s">
        <v>27</v>
      </c>
      <c r="E20" s="1" t="s">
        <v>56</v>
      </c>
      <c r="F20" s="10" t="s">
        <v>75</v>
      </c>
      <c r="G20" s="6">
        <v>33</v>
      </c>
      <c r="H20" s="19">
        <f>Table5[[#This Row],[单价
（元/月）]]*12</f>
        <v>396</v>
      </c>
      <c r="I20" s="2" t="s">
        <v>28</v>
      </c>
    </row>
    <row r="21" spans="1:9" ht="25.5" x14ac:dyDescent="0.2">
      <c r="A21" s="5"/>
      <c r="B21" s="14" t="s">
        <v>43</v>
      </c>
      <c r="C21" s="14" t="s">
        <v>46</v>
      </c>
      <c r="D21" s="1" t="s">
        <v>29</v>
      </c>
      <c r="E21" s="1" t="s">
        <v>56</v>
      </c>
      <c r="F21" s="10" t="s">
        <v>75</v>
      </c>
      <c r="G21" s="3">
        <v>98</v>
      </c>
      <c r="H21" s="19">
        <f>Table5[[#This Row],[单价
（元/月）]]*12</f>
        <v>1176</v>
      </c>
      <c r="I21" s="2" t="s">
        <v>30</v>
      </c>
    </row>
    <row r="22" spans="1:9" x14ac:dyDescent="0.2">
      <c r="A22" s="5"/>
      <c r="B22" s="14" t="s">
        <v>43</v>
      </c>
      <c r="C22" s="14" t="s">
        <v>46</v>
      </c>
      <c r="D22" s="1" t="s">
        <v>31</v>
      </c>
      <c r="E22" s="1" t="s">
        <v>56</v>
      </c>
      <c r="F22" s="10" t="s">
        <v>75</v>
      </c>
      <c r="G22" s="3">
        <v>46</v>
      </c>
      <c r="H22" s="19">
        <f>Table5[[#This Row],[单价
（元/月）]]*12</f>
        <v>552</v>
      </c>
      <c r="I22" s="2" t="s">
        <v>32</v>
      </c>
    </row>
    <row r="23" spans="1:9" ht="25.5" x14ac:dyDescent="0.2">
      <c r="A23" s="5"/>
      <c r="B23" s="14" t="s">
        <v>43</v>
      </c>
      <c r="C23" s="14" t="s">
        <v>46</v>
      </c>
      <c r="D23" s="1" t="s">
        <v>33</v>
      </c>
      <c r="E23" s="1" t="s">
        <v>56</v>
      </c>
      <c r="F23" s="10" t="s">
        <v>75</v>
      </c>
      <c r="G23" s="3">
        <v>196</v>
      </c>
      <c r="H23" s="19">
        <f>Table5[[#This Row],[单价
（元/月）]]*12</f>
        <v>2352</v>
      </c>
      <c r="I23" s="2" t="s">
        <v>34</v>
      </c>
    </row>
    <row r="24" spans="1:9" ht="25.5" x14ac:dyDescent="0.2">
      <c r="A24" s="5"/>
      <c r="B24" s="14" t="s">
        <v>43</v>
      </c>
      <c r="C24" s="14" t="s">
        <v>46</v>
      </c>
      <c r="D24" s="1" t="s">
        <v>35</v>
      </c>
      <c r="E24" s="1" t="s">
        <v>56</v>
      </c>
      <c r="F24" s="10" t="s">
        <v>75</v>
      </c>
      <c r="G24" s="3">
        <v>360</v>
      </c>
      <c r="H24" s="19">
        <f>Table5[[#This Row],[单价
（元/月）]]*12</f>
        <v>4320</v>
      </c>
      <c r="I24" s="2" t="s">
        <v>36</v>
      </c>
    </row>
    <row r="25" spans="1:9" x14ac:dyDescent="0.2">
      <c r="A25" s="5"/>
      <c r="B25" s="14" t="s">
        <v>43</v>
      </c>
      <c r="C25" s="14" t="s">
        <v>46</v>
      </c>
      <c r="D25" s="74" t="s">
        <v>37</v>
      </c>
      <c r="E25" s="1" t="s">
        <v>56</v>
      </c>
      <c r="F25" s="10" t="s">
        <v>75</v>
      </c>
      <c r="G25" s="3">
        <v>65</v>
      </c>
      <c r="H25" s="19">
        <f>Table5[[#This Row],[单价
（元/月）]]*12</f>
        <v>780</v>
      </c>
      <c r="I25" s="2" t="s">
        <v>38</v>
      </c>
    </row>
    <row r="26" spans="1:9" ht="51" x14ac:dyDescent="0.2">
      <c r="A26" s="16"/>
      <c r="B26" s="86" t="s">
        <v>43</v>
      </c>
      <c r="C26" s="14" t="s">
        <v>158</v>
      </c>
      <c r="D26" s="18" t="s">
        <v>348</v>
      </c>
      <c r="E26" s="81" t="s">
        <v>163</v>
      </c>
      <c r="F26" s="10" t="s">
        <v>75</v>
      </c>
      <c r="G26" s="19">
        <v>13</v>
      </c>
      <c r="H26" s="19">
        <f>Table5[[#This Row],[单价
（元/月）]]*12</f>
        <v>156</v>
      </c>
      <c r="I26" s="20" t="s">
        <v>160</v>
      </c>
    </row>
    <row r="27" spans="1:9" ht="63.75" x14ac:dyDescent="0.2">
      <c r="A27" s="16"/>
      <c r="B27" s="86" t="s">
        <v>43</v>
      </c>
      <c r="C27" s="14" t="s">
        <v>158</v>
      </c>
      <c r="D27" s="18" t="s">
        <v>347</v>
      </c>
      <c r="E27" s="81" t="s">
        <v>163</v>
      </c>
      <c r="F27" s="10" t="s">
        <v>75</v>
      </c>
      <c r="G27" s="19">
        <v>39</v>
      </c>
      <c r="H27" s="19">
        <f>Table5[[#This Row],[单价
（元/月）]]*12</f>
        <v>468</v>
      </c>
      <c r="I27" s="20" t="s">
        <v>159</v>
      </c>
    </row>
    <row r="28" spans="1:9" ht="51" x14ac:dyDescent="0.2">
      <c r="A28" s="16"/>
      <c r="B28" s="86" t="s">
        <v>43</v>
      </c>
      <c r="C28" s="14" t="s">
        <v>158</v>
      </c>
      <c r="D28" s="18" t="s">
        <v>161</v>
      </c>
      <c r="E28" s="81" t="s">
        <v>163</v>
      </c>
      <c r="F28" s="10" t="s">
        <v>75</v>
      </c>
      <c r="G28" s="19">
        <v>13</v>
      </c>
      <c r="H28" s="19">
        <f>Table5[[#This Row],[单价
（元/月）]]*12</f>
        <v>156</v>
      </c>
      <c r="I28" s="20" t="s">
        <v>164</v>
      </c>
    </row>
    <row r="29" spans="1:9" ht="38.25" x14ac:dyDescent="0.2">
      <c r="A29" s="16"/>
      <c r="B29" s="86" t="s">
        <v>43</v>
      </c>
      <c r="C29" s="14" t="s">
        <v>158</v>
      </c>
      <c r="D29" s="18" t="s">
        <v>162</v>
      </c>
      <c r="E29" s="81" t="s">
        <v>163</v>
      </c>
      <c r="F29" s="10" t="s">
        <v>75</v>
      </c>
      <c r="G29" s="19">
        <v>57</v>
      </c>
      <c r="H29" s="19">
        <f>Table5[[#This Row],[单价
（元/月）]]*12</f>
        <v>684</v>
      </c>
      <c r="I29" s="20" t="s">
        <v>165</v>
      </c>
    </row>
    <row r="30" spans="1:9" ht="25.5" x14ac:dyDescent="0.2">
      <c r="A30" s="16"/>
      <c r="B30" s="86" t="s">
        <v>43</v>
      </c>
      <c r="C30" s="14" t="s">
        <v>47</v>
      </c>
      <c r="D30" s="18" t="s">
        <v>349</v>
      </c>
      <c r="E30" s="81" t="s">
        <v>358</v>
      </c>
      <c r="F30" s="24" t="s">
        <v>350</v>
      </c>
      <c r="G30" s="132" t="s">
        <v>353</v>
      </c>
      <c r="H30" s="19">
        <v>2398</v>
      </c>
      <c r="I30" s="20" t="s">
        <v>357</v>
      </c>
    </row>
    <row r="31" spans="1:9" ht="38.25" x14ac:dyDescent="0.2">
      <c r="A31" s="16"/>
      <c r="B31" s="86" t="s">
        <v>43</v>
      </c>
      <c r="C31" s="86" t="s">
        <v>47</v>
      </c>
      <c r="D31" s="18" t="s">
        <v>351</v>
      </c>
      <c r="E31" s="81" t="s">
        <v>352</v>
      </c>
      <c r="F31" s="24" t="s">
        <v>350</v>
      </c>
      <c r="G31" s="132" t="s">
        <v>353</v>
      </c>
      <c r="H31" s="19">
        <v>1298</v>
      </c>
      <c r="I31" s="20" t="s">
        <v>356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C15" sqref="C15"/>
    </sheetView>
  </sheetViews>
  <sheetFormatPr defaultColWidth="9.125" defaultRowHeight="12.75" x14ac:dyDescent="0.2"/>
  <cols>
    <col min="1" max="2" width="11.5" style="1" customWidth="1"/>
    <col min="3" max="3" width="16" style="1" customWidth="1"/>
    <col min="4" max="4" width="10.5" style="1" customWidth="1"/>
    <col min="5" max="5" width="15.375" style="1" customWidth="1"/>
    <col min="6" max="6" width="10.625" style="1" customWidth="1"/>
    <col min="7" max="7" width="14.375" style="4" customWidth="1"/>
    <col min="8" max="8" width="67.75" style="3" customWidth="1"/>
    <col min="9" max="16384" width="9.125" style="1"/>
  </cols>
  <sheetData>
    <row r="1" spans="1:8" s="10" customFormat="1" ht="25.5" x14ac:dyDescent="0.2">
      <c r="A1" s="12" t="s">
        <v>39</v>
      </c>
      <c r="B1" s="12" t="s">
        <v>42</v>
      </c>
      <c r="C1" s="12" t="s">
        <v>44</v>
      </c>
      <c r="D1" s="10" t="s">
        <v>41</v>
      </c>
      <c r="E1" s="10" t="s">
        <v>50</v>
      </c>
      <c r="F1" s="10" t="s">
        <v>73</v>
      </c>
      <c r="G1" s="13" t="s">
        <v>54</v>
      </c>
      <c r="H1" s="11" t="s">
        <v>49</v>
      </c>
    </row>
    <row r="2" spans="1:8" ht="18" customHeight="1" x14ac:dyDescent="0.2">
      <c r="A2" s="5"/>
      <c r="B2" s="14" t="s">
        <v>183</v>
      </c>
      <c r="C2" s="21" t="s">
        <v>182</v>
      </c>
      <c r="D2" s="1" t="s">
        <v>184</v>
      </c>
      <c r="E2" s="10" t="s">
        <v>185</v>
      </c>
      <c r="F2" s="10" t="s">
        <v>75</v>
      </c>
      <c r="G2" s="3">
        <v>6800</v>
      </c>
      <c r="H2" s="9"/>
    </row>
    <row r="3" spans="1:8" x14ac:dyDescent="0.2">
      <c r="A3" s="16"/>
      <c r="B3" s="14" t="s">
        <v>183</v>
      </c>
      <c r="C3" s="21" t="s">
        <v>182</v>
      </c>
      <c r="D3" s="1" t="s">
        <v>184</v>
      </c>
      <c r="E3" s="10" t="s">
        <v>186</v>
      </c>
      <c r="F3" s="10" t="s">
        <v>75</v>
      </c>
      <c r="G3" s="3">
        <v>23800</v>
      </c>
      <c r="H3" s="9"/>
    </row>
    <row r="4" spans="1:8" x14ac:dyDescent="0.2">
      <c r="A4" s="16"/>
      <c r="B4" s="14" t="s">
        <v>183</v>
      </c>
      <c r="C4" s="21" t="s">
        <v>182</v>
      </c>
      <c r="D4" s="1" t="s">
        <v>184</v>
      </c>
      <c r="E4" s="24" t="s">
        <v>186</v>
      </c>
      <c r="F4" s="10" t="s">
        <v>75</v>
      </c>
      <c r="G4" s="3">
        <v>6800</v>
      </c>
      <c r="H4" s="9" t="s">
        <v>189</v>
      </c>
    </row>
    <row r="5" spans="1:8" x14ac:dyDescent="0.2">
      <c r="A5" s="5"/>
      <c r="B5" s="14" t="s">
        <v>183</v>
      </c>
      <c r="C5" s="21" t="s">
        <v>182</v>
      </c>
      <c r="D5" s="1" t="s">
        <v>184</v>
      </c>
      <c r="E5" s="10" t="s">
        <v>187</v>
      </c>
      <c r="F5" s="10" t="s">
        <v>75</v>
      </c>
      <c r="G5" s="3">
        <v>26800</v>
      </c>
      <c r="H5" s="9"/>
    </row>
    <row r="6" spans="1:8" x14ac:dyDescent="0.2">
      <c r="A6" s="16"/>
      <c r="B6" s="14" t="s">
        <v>183</v>
      </c>
      <c r="C6" s="21" t="s">
        <v>182</v>
      </c>
      <c r="D6" s="1" t="s">
        <v>184</v>
      </c>
      <c r="E6" s="10" t="s">
        <v>188</v>
      </c>
      <c r="F6" s="10" t="s">
        <v>75</v>
      </c>
      <c r="G6" s="3">
        <v>56800</v>
      </c>
      <c r="H6" s="9"/>
    </row>
  </sheetData>
  <phoneticPr fontId="3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/>
  </sheetViews>
  <sheetFormatPr defaultRowHeight="14.25" x14ac:dyDescent="0.2"/>
  <cols>
    <col min="1" max="1" width="7.75" customWidth="1"/>
    <col min="4" max="4" width="19.375" customWidth="1"/>
    <col min="6" max="6" width="16.25" customWidth="1"/>
    <col min="7" max="7" width="13.375" customWidth="1"/>
    <col min="8" max="8" width="32.125" customWidth="1"/>
  </cols>
  <sheetData>
    <row r="1" spans="1:8" x14ac:dyDescent="0.2">
      <c r="C1" s="87"/>
      <c r="D1" s="87"/>
    </row>
    <row r="2" spans="1:8" ht="25.5" x14ac:dyDescent="0.2">
      <c r="A2" s="89" t="s">
        <v>39</v>
      </c>
      <c r="B2" s="90" t="s">
        <v>42</v>
      </c>
      <c r="C2" s="90" t="s">
        <v>44</v>
      </c>
      <c r="D2" s="91" t="s">
        <v>41</v>
      </c>
      <c r="E2" s="91" t="s">
        <v>50</v>
      </c>
      <c r="F2" s="91" t="s">
        <v>73</v>
      </c>
      <c r="G2" s="92" t="s">
        <v>54</v>
      </c>
      <c r="H2" s="93" t="s">
        <v>49</v>
      </c>
    </row>
    <row r="3" spans="1:8" x14ac:dyDescent="0.2">
      <c r="A3" s="94"/>
      <c r="B3" s="95" t="s">
        <v>80</v>
      </c>
      <c r="C3" s="96" t="s">
        <v>76</v>
      </c>
      <c r="D3" s="97" t="s">
        <v>191</v>
      </c>
      <c r="E3" s="98" t="s">
        <v>85</v>
      </c>
      <c r="F3" s="98" t="s">
        <v>147</v>
      </c>
      <c r="G3" s="99">
        <v>19200</v>
      </c>
      <c r="H3" s="100"/>
    </row>
    <row r="4" spans="1:8" x14ac:dyDescent="0.2">
      <c r="A4" s="101"/>
      <c r="B4" s="102" t="s">
        <v>80</v>
      </c>
      <c r="C4" s="103" t="s">
        <v>76</v>
      </c>
      <c r="D4" s="104" t="s">
        <v>191</v>
      </c>
      <c r="E4" s="105" t="s">
        <v>85</v>
      </c>
      <c r="F4" s="105" t="s">
        <v>148</v>
      </c>
      <c r="G4" s="106">
        <v>36000</v>
      </c>
      <c r="H4" s="107"/>
    </row>
    <row r="5" spans="1:8" x14ac:dyDescent="0.2">
      <c r="A5" s="108"/>
      <c r="B5" s="95" t="s">
        <v>80</v>
      </c>
      <c r="C5" s="96" t="s">
        <v>76</v>
      </c>
      <c r="D5" s="97" t="s">
        <v>191</v>
      </c>
      <c r="E5" s="98" t="s">
        <v>85</v>
      </c>
      <c r="F5" s="98" t="s">
        <v>149</v>
      </c>
      <c r="G5" s="99">
        <v>54000</v>
      </c>
      <c r="H5" s="100"/>
    </row>
    <row r="6" spans="1:8" x14ac:dyDescent="0.2">
      <c r="A6" s="109"/>
      <c r="B6" s="102" t="s">
        <v>80</v>
      </c>
      <c r="C6" s="103" t="s">
        <v>76</v>
      </c>
      <c r="D6" s="104" t="s">
        <v>191</v>
      </c>
      <c r="E6" s="105" t="s">
        <v>85</v>
      </c>
      <c r="F6" s="105" t="s">
        <v>150</v>
      </c>
      <c r="G6" s="106">
        <v>72000</v>
      </c>
      <c r="H6" s="107"/>
    </row>
    <row r="7" spans="1:8" x14ac:dyDescent="0.2">
      <c r="A7" s="108"/>
      <c r="B7" s="95" t="s">
        <v>80</v>
      </c>
      <c r="C7" s="96" t="s">
        <v>76</v>
      </c>
      <c r="D7" s="97" t="s">
        <v>191</v>
      </c>
      <c r="E7" s="98" t="s">
        <v>85</v>
      </c>
      <c r="F7" s="95" t="s">
        <v>151</v>
      </c>
      <c r="G7" s="99">
        <v>84000</v>
      </c>
      <c r="H7" s="100"/>
    </row>
    <row r="8" spans="1:8" x14ac:dyDescent="0.2">
      <c r="A8" t="s">
        <v>195</v>
      </c>
    </row>
    <row r="9" spans="1:8" ht="16.5" x14ac:dyDescent="0.2">
      <c r="A9" t="s">
        <v>196</v>
      </c>
      <c r="C9" s="88"/>
    </row>
    <row r="10" spans="1:8" x14ac:dyDescent="0.2">
      <c r="A10" t="s">
        <v>197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pane ySplit="1" topLeftCell="A5" activePane="bottomLeft" state="frozen"/>
      <selection pane="bottomLeft"/>
    </sheetView>
  </sheetViews>
  <sheetFormatPr defaultColWidth="9.125" defaultRowHeight="12.75" x14ac:dyDescent="0.2"/>
  <cols>
    <col min="1" max="2" width="11.5" style="1" customWidth="1"/>
    <col min="3" max="3" width="16" style="1" customWidth="1"/>
    <col min="4" max="4" width="10.5" style="1" customWidth="1"/>
    <col min="5" max="5" width="15.375" style="1" customWidth="1"/>
    <col min="6" max="6" width="10.625" style="1" customWidth="1"/>
    <col min="7" max="7" width="14.375" style="3" customWidth="1"/>
    <col min="8" max="8" width="67.75" style="3" customWidth="1"/>
    <col min="9" max="16384" width="9.125" style="1"/>
  </cols>
  <sheetData>
    <row r="1" spans="1:8" s="10" customFormat="1" ht="25.5" x14ac:dyDescent="0.2">
      <c r="A1" s="12" t="s">
        <v>39</v>
      </c>
      <c r="B1" s="12" t="s">
        <v>42</v>
      </c>
      <c r="C1" s="12" t="s">
        <v>44</v>
      </c>
      <c r="D1" s="10" t="s">
        <v>41</v>
      </c>
      <c r="E1" s="10" t="s">
        <v>50</v>
      </c>
      <c r="F1" s="10" t="s">
        <v>73</v>
      </c>
      <c r="G1" s="13" t="s">
        <v>54</v>
      </c>
      <c r="H1" s="11" t="s">
        <v>49</v>
      </c>
    </row>
    <row r="2" spans="1:8" ht="38.25" x14ac:dyDescent="0.2">
      <c r="A2" s="5"/>
      <c r="B2" s="14" t="s">
        <v>76</v>
      </c>
      <c r="C2" s="21" t="s">
        <v>51</v>
      </c>
      <c r="D2" s="1" t="s">
        <v>152</v>
      </c>
      <c r="E2" s="10" t="s">
        <v>205</v>
      </c>
      <c r="F2" s="10" t="s">
        <v>209</v>
      </c>
      <c r="G2" s="3">
        <v>1920</v>
      </c>
      <c r="H2" s="9" t="s">
        <v>83</v>
      </c>
    </row>
    <row r="3" spans="1:8" x14ac:dyDescent="0.2">
      <c r="A3" s="16"/>
      <c r="B3" s="14" t="s">
        <v>76</v>
      </c>
      <c r="C3" s="21" t="s">
        <v>51</v>
      </c>
      <c r="D3" s="1" t="s">
        <v>152</v>
      </c>
      <c r="E3" s="10" t="s">
        <v>206</v>
      </c>
      <c r="F3" s="10" t="s">
        <v>209</v>
      </c>
      <c r="G3" s="3">
        <v>3000</v>
      </c>
      <c r="H3" s="9"/>
    </row>
    <row r="4" spans="1:8" x14ac:dyDescent="0.2">
      <c r="A4" s="5"/>
      <c r="B4" s="14" t="s">
        <v>76</v>
      </c>
      <c r="C4" s="21" t="s">
        <v>51</v>
      </c>
      <c r="D4" s="1" t="s">
        <v>152</v>
      </c>
      <c r="E4" s="10" t="s">
        <v>207</v>
      </c>
      <c r="F4" s="10" t="s">
        <v>209</v>
      </c>
      <c r="G4" s="48">
        <v>4200</v>
      </c>
      <c r="H4" s="9"/>
    </row>
    <row r="5" spans="1:8" x14ac:dyDescent="0.2">
      <c r="A5" s="16"/>
      <c r="B5" s="14" t="s">
        <v>76</v>
      </c>
      <c r="C5" s="21" t="s">
        <v>51</v>
      </c>
      <c r="D5" s="1" t="s">
        <v>152</v>
      </c>
      <c r="E5" s="10" t="s">
        <v>208</v>
      </c>
      <c r="F5" s="10" t="s">
        <v>209</v>
      </c>
      <c r="G5" s="3">
        <v>5520</v>
      </c>
      <c r="H5" s="9"/>
    </row>
    <row r="6" spans="1:8" x14ac:dyDescent="0.2">
      <c r="A6" s="5"/>
      <c r="B6" s="14" t="s">
        <v>76</v>
      </c>
      <c r="C6" s="21" t="s">
        <v>51</v>
      </c>
      <c r="D6" s="1" t="s">
        <v>152</v>
      </c>
      <c r="E6" s="10" t="s">
        <v>178</v>
      </c>
      <c r="F6" s="10" t="s">
        <v>209</v>
      </c>
      <c r="G6" s="3">
        <v>6800</v>
      </c>
      <c r="H6" s="9"/>
    </row>
    <row r="7" spans="1:8" x14ac:dyDescent="0.2">
      <c r="A7" s="16"/>
      <c r="B7" s="14" t="s">
        <v>76</v>
      </c>
      <c r="C7" s="21" t="s">
        <v>51</v>
      </c>
      <c r="D7" s="1" t="s">
        <v>152</v>
      </c>
      <c r="E7" s="10" t="s">
        <v>179</v>
      </c>
      <c r="F7" s="10" t="s">
        <v>209</v>
      </c>
      <c r="G7" s="3">
        <v>12900</v>
      </c>
      <c r="H7" s="9"/>
    </row>
    <row r="8" spans="1:8" x14ac:dyDescent="0.2">
      <c r="A8" s="5"/>
      <c r="B8" s="14" t="s">
        <v>76</v>
      </c>
      <c r="C8" s="21" t="s">
        <v>51</v>
      </c>
      <c r="D8" s="1" t="s">
        <v>152</v>
      </c>
      <c r="E8" s="10" t="s">
        <v>210</v>
      </c>
      <c r="F8" s="10" t="s">
        <v>209</v>
      </c>
      <c r="G8" s="3">
        <v>18150</v>
      </c>
      <c r="H8" s="9"/>
    </row>
    <row r="9" spans="1:8" x14ac:dyDescent="0.2">
      <c r="A9" s="16"/>
      <c r="B9" s="14" t="s">
        <v>76</v>
      </c>
      <c r="C9" s="21" t="s">
        <v>51</v>
      </c>
      <c r="D9" s="1" t="s">
        <v>152</v>
      </c>
      <c r="E9" s="10" t="s">
        <v>211</v>
      </c>
      <c r="F9" s="10" t="s">
        <v>209</v>
      </c>
      <c r="G9" s="3">
        <v>21200</v>
      </c>
      <c r="H9" s="9"/>
    </row>
    <row r="10" spans="1:8" x14ac:dyDescent="0.2">
      <c r="A10" s="5"/>
      <c r="B10" s="14" t="s">
        <v>76</v>
      </c>
      <c r="C10" s="21" t="s">
        <v>51</v>
      </c>
      <c r="D10" s="1" t="s">
        <v>152</v>
      </c>
      <c r="E10" s="10" t="s">
        <v>180</v>
      </c>
      <c r="F10" s="10" t="s">
        <v>209</v>
      </c>
      <c r="G10" s="3">
        <v>22750</v>
      </c>
      <c r="H10" s="9"/>
    </row>
    <row r="11" spans="1:8" x14ac:dyDescent="0.2">
      <c r="A11" s="16"/>
      <c r="B11" s="14" t="s">
        <v>76</v>
      </c>
      <c r="C11" s="21" t="s">
        <v>51</v>
      </c>
      <c r="D11" s="1" t="s">
        <v>152</v>
      </c>
      <c r="E11" s="10" t="s">
        <v>181</v>
      </c>
      <c r="F11" s="10" t="s">
        <v>209</v>
      </c>
      <c r="G11" s="48">
        <v>45500</v>
      </c>
      <c r="H11" s="9"/>
    </row>
    <row r="12" spans="1:8" x14ac:dyDescent="0.2">
      <c r="A12" s="16"/>
      <c r="B12" s="14" t="s">
        <v>76</v>
      </c>
      <c r="C12" s="21" t="s">
        <v>51</v>
      </c>
      <c r="D12" s="1" t="s">
        <v>152</v>
      </c>
      <c r="E12" s="10" t="s">
        <v>212</v>
      </c>
      <c r="F12" s="10" t="s">
        <v>209</v>
      </c>
      <c r="G12" s="48">
        <v>91000</v>
      </c>
      <c r="H12" s="9"/>
    </row>
    <row r="13" spans="1:8" x14ac:dyDescent="0.2">
      <c r="A13" s="16"/>
      <c r="B13" s="14" t="s">
        <v>76</v>
      </c>
      <c r="C13" s="21" t="s">
        <v>51</v>
      </c>
      <c r="D13" s="1" t="s">
        <v>152</v>
      </c>
      <c r="E13" s="10" t="s">
        <v>213</v>
      </c>
      <c r="F13" s="10" t="s">
        <v>209</v>
      </c>
      <c r="G13" s="48">
        <v>136500</v>
      </c>
      <c r="H13" s="9"/>
    </row>
    <row r="14" spans="1:8" x14ac:dyDescent="0.2">
      <c r="A14" s="16"/>
      <c r="B14" s="14" t="s">
        <v>76</v>
      </c>
      <c r="C14" s="21" t="s">
        <v>51</v>
      </c>
      <c r="D14" s="1" t="s">
        <v>152</v>
      </c>
      <c r="E14" s="10" t="s">
        <v>214</v>
      </c>
      <c r="F14" s="10" t="s">
        <v>209</v>
      </c>
      <c r="G14" s="48">
        <v>227500</v>
      </c>
      <c r="H14" s="9"/>
    </row>
    <row r="15" spans="1:8" x14ac:dyDescent="0.2">
      <c r="A15" s="16"/>
      <c r="B15" s="14" t="s">
        <v>76</v>
      </c>
      <c r="C15" s="21" t="s">
        <v>51</v>
      </c>
      <c r="D15" s="1" t="s">
        <v>152</v>
      </c>
      <c r="E15" s="10" t="s">
        <v>153</v>
      </c>
      <c r="F15" s="10" t="s">
        <v>204</v>
      </c>
      <c r="G15" s="48">
        <v>23040</v>
      </c>
      <c r="H15" s="9"/>
    </row>
    <row r="16" spans="1:8" x14ac:dyDescent="0.2">
      <c r="A16" s="16"/>
      <c r="B16" s="14" t="s">
        <v>76</v>
      </c>
      <c r="C16" s="21" t="s">
        <v>51</v>
      </c>
      <c r="D16" s="1" t="s">
        <v>152</v>
      </c>
      <c r="E16" s="10" t="s">
        <v>201</v>
      </c>
      <c r="F16" s="10" t="s">
        <v>204</v>
      </c>
      <c r="G16" s="48">
        <v>36000</v>
      </c>
      <c r="H16" s="9"/>
    </row>
    <row r="17" spans="1:8" x14ac:dyDescent="0.2">
      <c r="A17" s="16"/>
      <c r="B17" s="14" t="s">
        <v>76</v>
      </c>
      <c r="C17" s="21" t="s">
        <v>51</v>
      </c>
      <c r="D17" s="1" t="s">
        <v>152</v>
      </c>
      <c r="E17" s="10" t="s">
        <v>202</v>
      </c>
      <c r="F17" s="10" t="s">
        <v>204</v>
      </c>
      <c r="G17" s="48">
        <v>50400</v>
      </c>
      <c r="H17" s="9"/>
    </row>
    <row r="18" spans="1:8" x14ac:dyDescent="0.2">
      <c r="A18" s="16"/>
      <c r="B18" s="14" t="s">
        <v>76</v>
      </c>
      <c r="C18" s="21" t="s">
        <v>51</v>
      </c>
      <c r="D18" s="1" t="s">
        <v>152</v>
      </c>
      <c r="E18" s="10" t="s">
        <v>203</v>
      </c>
      <c r="F18" s="10" t="s">
        <v>204</v>
      </c>
      <c r="G18" s="48">
        <v>66240</v>
      </c>
      <c r="H18" s="9"/>
    </row>
    <row r="19" spans="1:8" x14ac:dyDescent="0.2">
      <c r="A19" s="16"/>
      <c r="B19" s="14" t="s">
        <v>76</v>
      </c>
      <c r="C19" s="21" t="s">
        <v>51</v>
      </c>
      <c r="D19" s="1" t="s">
        <v>152</v>
      </c>
      <c r="E19" s="10" t="s">
        <v>154</v>
      </c>
      <c r="F19" s="10" t="s">
        <v>204</v>
      </c>
      <c r="G19" s="48">
        <v>81600</v>
      </c>
      <c r="H19" s="20"/>
    </row>
    <row r="20" spans="1:8" x14ac:dyDescent="0.2">
      <c r="A20" s="16"/>
      <c r="B20" s="86" t="s">
        <v>175</v>
      </c>
      <c r="C20" s="23" t="s">
        <v>176</v>
      </c>
      <c r="D20" s="18" t="s">
        <v>177</v>
      </c>
      <c r="E20" s="10" t="s">
        <v>146</v>
      </c>
      <c r="F20" s="10" t="s">
        <v>204</v>
      </c>
      <c r="G20" s="48">
        <v>154800</v>
      </c>
      <c r="H20" s="20"/>
    </row>
    <row r="21" spans="1:8" x14ac:dyDescent="0.2">
      <c r="A21" s="16"/>
      <c r="B21" s="86" t="s">
        <v>175</v>
      </c>
      <c r="C21" s="23" t="s">
        <v>176</v>
      </c>
      <c r="D21" s="18" t="s">
        <v>177</v>
      </c>
      <c r="E21" s="10" t="s">
        <v>155</v>
      </c>
      <c r="F21" s="10" t="s">
        <v>204</v>
      </c>
      <c r="G21" s="48">
        <v>217800</v>
      </c>
      <c r="H21" s="20"/>
    </row>
    <row r="22" spans="1:8" x14ac:dyDescent="0.2">
      <c r="A22" s="16"/>
      <c r="B22" s="86" t="s">
        <v>175</v>
      </c>
      <c r="C22" s="23" t="s">
        <v>176</v>
      </c>
      <c r="D22" s="18" t="s">
        <v>177</v>
      </c>
      <c r="E22" s="10" t="s">
        <v>194</v>
      </c>
      <c r="F22" s="10" t="s">
        <v>204</v>
      </c>
      <c r="G22" s="3">
        <v>254400</v>
      </c>
      <c r="H22" s="20"/>
    </row>
    <row r="23" spans="1:8" x14ac:dyDescent="0.2">
      <c r="A23" s="16"/>
      <c r="B23" s="86" t="s">
        <v>175</v>
      </c>
      <c r="C23" s="23" t="s">
        <v>176</v>
      </c>
      <c r="D23" s="18" t="s">
        <v>177</v>
      </c>
      <c r="E23" s="10" t="s">
        <v>192</v>
      </c>
      <c r="F23" s="10" t="s">
        <v>204</v>
      </c>
      <c r="G23" s="48">
        <v>273000</v>
      </c>
      <c r="H23" s="20"/>
    </row>
    <row r="24" spans="1:8" x14ac:dyDescent="0.2">
      <c r="A24" s="16"/>
      <c r="B24" s="86" t="s">
        <v>175</v>
      </c>
      <c r="C24" s="23" t="s">
        <v>176</v>
      </c>
      <c r="D24" s="18" t="s">
        <v>177</v>
      </c>
      <c r="E24" s="10" t="s">
        <v>193</v>
      </c>
      <c r="F24" s="10" t="s">
        <v>204</v>
      </c>
      <c r="G24" s="3">
        <v>546000</v>
      </c>
      <c r="H24" s="20"/>
    </row>
    <row r="25" spans="1:8" x14ac:dyDescent="0.2">
      <c r="A25" s="16"/>
      <c r="B25" s="86" t="s">
        <v>175</v>
      </c>
      <c r="C25" s="23" t="s">
        <v>176</v>
      </c>
      <c r="D25" s="18" t="s">
        <v>177</v>
      </c>
      <c r="E25" s="10" t="s">
        <v>198</v>
      </c>
      <c r="F25" s="10" t="s">
        <v>204</v>
      </c>
      <c r="G25" s="48">
        <v>1092000</v>
      </c>
      <c r="H25" s="20"/>
    </row>
    <row r="26" spans="1:8" x14ac:dyDescent="0.2">
      <c r="A26" s="16"/>
      <c r="B26" s="86" t="s">
        <v>175</v>
      </c>
      <c r="C26" s="23" t="s">
        <v>176</v>
      </c>
      <c r="D26" s="18" t="s">
        <v>177</v>
      </c>
      <c r="E26" s="10" t="s">
        <v>199</v>
      </c>
      <c r="F26" s="10" t="s">
        <v>204</v>
      </c>
      <c r="G26" s="3">
        <v>1638000</v>
      </c>
      <c r="H26" s="20"/>
    </row>
    <row r="27" spans="1:8" x14ac:dyDescent="0.2">
      <c r="A27" s="16"/>
      <c r="B27" s="86" t="s">
        <v>175</v>
      </c>
      <c r="C27" s="23" t="s">
        <v>176</v>
      </c>
      <c r="D27" s="18" t="s">
        <v>177</v>
      </c>
      <c r="E27" s="10" t="s">
        <v>200</v>
      </c>
      <c r="F27" s="10" t="s">
        <v>204</v>
      </c>
      <c r="G27" s="48">
        <v>2730000</v>
      </c>
      <c r="H27" s="20"/>
    </row>
    <row r="29" spans="1:8" x14ac:dyDescent="0.2">
      <c r="A29" s="1" t="s">
        <v>215</v>
      </c>
    </row>
    <row r="30" spans="1:8" x14ac:dyDescent="0.2">
      <c r="A30" s="1" t="s">
        <v>216</v>
      </c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6"/>
  <sheetViews>
    <sheetView workbookViewId="0">
      <pane ySplit="1" topLeftCell="A14" activePane="bottomLeft" state="frozen"/>
      <selection activeCell="C1" sqref="C1"/>
      <selection pane="bottomLeft" activeCell="G88" sqref="G88"/>
    </sheetView>
  </sheetViews>
  <sheetFormatPr defaultColWidth="9.125" defaultRowHeight="12.75" x14ac:dyDescent="0.2"/>
  <cols>
    <col min="1" max="2" width="11.5" style="1" customWidth="1"/>
    <col min="3" max="3" width="13" style="1" customWidth="1"/>
    <col min="4" max="4" width="19" style="1" customWidth="1"/>
    <col min="5" max="5" width="16.75" style="1" customWidth="1"/>
    <col min="6" max="6" width="10.375" style="1" customWidth="1"/>
    <col min="7" max="7" width="14.375" style="4" customWidth="1"/>
    <col min="8" max="8" width="67.75" style="3" customWidth="1"/>
    <col min="9" max="9" width="89.875" style="2" customWidth="1"/>
    <col min="10" max="16384" width="9.125" style="1"/>
  </cols>
  <sheetData>
    <row r="1" spans="1:9" s="10" customFormat="1" ht="26.25" thickBot="1" x14ac:dyDescent="0.25">
      <c r="A1" s="12" t="s">
        <v>39</v>
      </c>
      <c r="B1" s="12" t="s">
        <v>42</v>
      </c>
      <c r="C1" s="12" t="s">
        <v>44</v>
      </c>
      <c r="D1" s="10" t="s">
        <v>41</v>
      </c>
      <c r="E1" s="10" t="s">
        <v>50</v>
      </c>
      <c r="F1" s="10" t="s">
        <v>73</v>
      </c>
      <c r="G1" s="13" t="s">
        <v>54</v>
      </c>
      <c r="H1" s="11" t="s">
        <v>49</v>
      </c>
    </row>
    <row r="2" spans="1:9" s="10" customFormat="1" ht="13.5" thickBot="1" x14ac:dyDescent="0.25">
      <c r="A2" s="27"/>
      <c r="B2" s="28" t="s">
        <v>81</v>
      </c>
      <c r="C2" s="29" t="s">
        <v>82</v>
      </c>
      <c r="D2" s="30" t="s">
        <v>166</v>
      </c>
      <c r="E2" s="31" t="s">
        <v>88</v>
      </c>
      <c r="F2" s="31" t="s">
        <v>85</v>
      </c>
      <c r="G2" s="32">
        <v>720</v>
      </c>
      <c r="H2" s="33"/>
    </row>
    <row r="3" spans="1:9" x14ac:dyDescent="0.2">
      <c r="A3" s="34"/>
      <c r="B3" s="35" t="s">
        <v>52</v>
      </c>
      <c r="C3" s="36" t="s">
        <v>53</v>
      </c>
      <c r="D3" s="37" t="s">
        <v>167</v>
      </c>
      <c r="E3" s="38" t="s">
        <v>89</v>
      </c>
      <c r="F3" s="39" t="s">
        <v>74</v>
      </c>
      <c r="G3" s="40">
        <v>310</v>
      </c>
      <c r="H3" s="41"/>
      <c r="I3" s="1"/>
    </row>
    <row r="4" spans="1:9" x14ac:dyDescent="0.2">
      <c r="A4" s="42"/>
      <c r="B4" s="43" t="s">
        <v>52</v>
      </c>
      <c r="C4" s="44" t="s">
        <v>53</v>
      </c>
      <c r="D4" s="45" t="s">
        <v>167</v>
      </c>
      <c r="E4" s="46" t="s">
        <v>90</v>
      </c>
      <c r="F4" s="47" t="s">
        <v>74</v>
      </c>
      <c r="G4" s="48">
        <v>310</v>
      </c>
      <c r="H4" s="49"/>
      <c r="I4" s="1"/>
    </row>
    <row r="5" spans="1:9" x14ac:dyDescent="0.2">
      <c r="A5" s="42"/>
      <c r="B5" s="43" t="s">
        <v>52</v>
      </c>
      <c r="C5" s="44" t="s">
        <v>53</v>
      </c>
      <c r="D5" s="45" t="s">
        <v>167</v>
      </c>
      <c r="E5" s="46" t="s">
        <v>91</v>
      </c>
      <c r="F5" s="47" t="s">
        <v>74</v>
      </c>
      <c r="G5" s="48">
        <v>160</v>
      </c>
      <c r="H5" s="49"/>
      <c r="I5" s="1"/>
    </row>
    <row r="6" spans="1:9" x14ac:dyDescent="0.2">
      <c r="A6" s="42"/>
      <c r="B6" s="43" t="s">
        <v>52</v>
      </c>
      <c r="C6" s="44" t="s">
        <v>53</v>
      </c>
      <c r="D6" s="45" t="s">
        <v>167</v>
      </c>
      <c r="E6" s="46" t="s">
        <v>92</v>
      </c>
      <c r="F6" s="47" t="s">
        <v>86</v>
      </c>
      <c r="G6" s="48">
        <v>169</v>
      </c>
      <c r="H6" s="49"/>
      <c r="I6" s="1"/>
    </row>
    <row r="7" spans="1:9" x14ac:dyDescent="0.2">
      <c r="A7" s="42"/>
      <c r="B7" s="43" t="s">
        <v>52</v>
      </c>
      <c r="C7" s="44" t="s">
        <v>53</v>
      </c>
      <c r="D7" s="45" t="s">
        <v>167</v>
      </c>
      <c r="E7" s="46" t="s">
        <v>93</v>
      </c>
      <c r="F7" s="47" t="s">
        <v>85</v>
      </c>
      <c r="G7" s="48">
        <v>1800</v>
      </c>
      <c r="H7" s="49"/>
      <c r="I7" s="1"/>
    </row>
    <row r="8" spans="1:9" x14ac:dyDescent="0.2">
      <c r="A8" s="50"/>
      <c r="B8" s="43" t="s">
        <v>52</v>
      </c>
      <c r="C8" s="44" t="s">
        <v>53</v>
      </c>
      <c r="D8" s="45" t="s">
        <v>167</v>
      </c>
      <c r="E8" s="46" t="s">
        <v>94</v>
      </c>
      <c r="F8" s="47" t="s">
        <v>86</v>
      </c>
      <c r="G8" s="48">
        <v>229</v>
      </c>
      <c r="H8" s="49"/>
      <c r="I8" s="1"/>
    </row>
    <row r="9" spans="1:9" x14ac:dyDescent="0.2">
      <c r="A9" s="50"/>
      <c r="B9" s="43" t="s">
        <v>52</v>
      </c>
      <c r="C9" s="44" t="s">
        <v>53</v>
      </c>
      <c r="D9" s="45" t="s">
        <v>167</v>
      </c>
      <c r="E9" s="46" t="s">
        <v>95</v>
      </c>
      <c r="F9" s="47" t="s">
        <v>85</v>
      </c>
      <c r="G9" s="48">
        <v>1990</v>
      </c>
      <c r="H9" s="49"/>
      <c r="I9" s="1"/>
    </row>
    <row r="10" spans="1:9" ht="13.5" thickBot="1" x14ac:dyDescent="0.25">
      <c r="A10" s="51"/>
      <c r="B10" s="52" t="s">
        <v>52</v>
      </c>
      <c r="C10" s="53" t="s">
        <v>53</v>
      </c>
      <c r="D10" s="45" t="s">
        <v>167</v>
      </c>
      <c r="E10" s="54" t="s">
        <v>96</v>
      </c>
      <c r="F10" s="55" t="s">
        <v>87</v>
      </c>
      <c r="G10" s="56">
        <v>3200</v>
      </c>
      <c r="H10" s="57"/>
      <c r="I10" s="1"/>
    </row>
    <row r="11" spans="1:9" x14ac:dyDescent="0.2">
      <c r="A11" s="58"/>
      <c r="B11" s="35" t="s">
        <v>52</v>
      </c>
      <c r="C11" s="36" t="s">
        <v>53</v>
      </c>
      <c r="D11" s="37" t="s">
        <v>168</v>
      </c>
      <c r="E11" s="38" t="s">
        <v>89</v>
      </c>
      <c r="F11" s="39" t="s">
        <v>74</v>
      </c>
      <c r="G11" s="40">
        <v>310</v>
      </c>
      <c r="H11" s="41"/>
      <c r="I11" s="1"/>
    </row>
    <row r="12" spans="1:9" x14ac:dyDescent="0.2">
      <c r="A12" s="50"/>
      <c r="B12" s="43" t="s">
        <v>52</v>
      </c>
      <c r="C12" s="44" t="s">
        <v>53</v>
      </c>
      <c r="D12" s="45" t="s">
        <v>168</v>
      </c>
      <c r="E12" s="46" t="s">
        <v>90</v>
      </c>
      <c r="F12" s="47" t="s">
        <v>74</v>
      </c>
      <c r="G12" s="48">
        <v>310</v>
      </c>
      <c r="H12" s="59"/>
    </row>
    <row r="13" spans="1:9" x14ac:dyDescent="0.2">
      <c r="A13" s="50"/>
      <c r="B13" s="43" t="s">
        <v>52</v>
      </c>
      <c r="C13" s="44" t="s">
        <v>53</v>
      </c>
      <c r="D13" s="45" t="s">
        <v>168</v>
      </c>
      <c r="E13" s="46" t="s">
        <v>97</v>
      </c>
      <c r="F13" s="47" t="s">
        <v>86</v>
      </c>
      <c r="G13" s="48">
        <v>688</v>
      </c>
      <c r="H13" s="59"/>
    </row>
    <row r="14" spans="1:9" x14ac:dyDescent="0.2">
      <c r="A14" s="50"/>
      <c r="B14" s="43" t="s">
        <v>52</v>
      </c>
      <c r="C14" s="44" t="s">
        <v>53</v>
      </c>
      <c r="D14" s="45" t="s">
        <v>168</v>
      </c>
      <c r="E14" s="46" t="s">
        <v>98</v>
      </c>
      <c r="F14" s="47" t="s">
        <v>85</v>
      </c>
      <c r="G14" s="48">
        <v>6880</v>
      </c>
      <c r="H14" s="59"/>
    </row>
    <row r="15" spans="1:9" x14ac:dyDescent="0.2">
      <c r="A15" s="50"/>
      <c r="B15" s="43" t="s">
        <v>52</v>
      </c>
      <c r="C15" s="44" t="s">
        <v>53</v>
      </c>
      <c r="D15" s="45" t="s">
        <v>168</v>
      </c>
      <c r="E15" s="46" t="s">
        <v>99</v>
      </c>
      <c r="F15" s="47" t="s">
        <v>87</v>
      </c>
      <c r="G15" s="48">
        <v>11880</v>
      </c>
      <c r="H15" s="59"/>
    </row>
    <row r="16" spans="1:9" x14ac:dyDescent="0.2">
      <c r="A16" s="50"/>
      <c r="B16" s="43" t="s">
        <v>52</v>
      </c>
      <c r="C16" s="44" t="s">
        <v>53</v>
      </c>
      <c r="D16" s="45" t="s">
        <v>168</v>
      </c>
      <c r="E16" s="47" t="s">
        <v>100</v>
      </c>
      <c r="F16" s="47" t="s">
        <v>86</v>
      </c>
      <c r="G16" s="48">
        <v>1088</v>
      </c>
      <c r="H16" s="59"/>
    </row>
    <row r="17" spans="1:8" x14ac:dyDescent="0.2">
      <c r="A17" s="50"/>
      <c r="B17" s="43" t="s">
        <v>52</v>
      </c>
      <c r="C17" s="44" t="s">
        <v>53</v>
      </c>
      <c r="D17" s="45" t="s">
        <v>168</v>
      </c>
      <c r="E17" s="47" t="s">
        <v>101</v>
      </c>
      <c r="F17" s="47" t="s">
        <v>85</v>
      </c>
      <c r="G17" s="48">
        <v>10880</v>
      </c>
      <c r="H17" s="59"/>
    </row>
    <row r="18" spans="1:8" ht="13.5" thickBot="1" x14ac:dyDescent="0.25">
      <c r="A18" s="51"/>
      <c r="B18" s="52" t="s">
        <v>52</v>
      </c>
      <c r="C18" s="53" t="s">
        <v>53</v>
      </c>
      <c r="D18" s="45" t="s">
        <v>168</v>
      </c>
      <c r="E18" s="55" t="s">
        <v>102</v>
      </c>
      <c r="F18" s="55" t="s">
        <v>87</v>
      </c>
      <c r="G18" s="56">
        <v>15910</v>
      </c>
      <c r="H18" s="60"/>
    </row>
    <row r="19" spans="1:8" x14ac:dyDescent="0.2">
      <c r="A19" s="58"/>
      <c r="B19" s="35" t="s">
        <v>52</v>
      </c>
      <c r="C19" s="36" t="s">
        <v>53</v>
      </c>
      <c r="D19" s="61" t="s">
        <v>169</v>
      </c>
      <c r="E19" s="38" t="s">
        <v>89</v>
      </c>
      <c r="F19" s="39" t="s">
        <v>74</v>
      </c>
      <c r="G19" s="40">
        <v>1300</v>
      </c>
      <c r="H19" s="62"/>
    </row>
    <row r="20" spans="1:8" x14ac:dyDescent="0.2">
      <c r="A20" s="50"/>
      <c r="B20" s="43" t="s">
        <v>52</v>
      </c>
      <c r="C20" s="44" t="s">
        <v>53</v>
      </c>
      <c r="D20" s="63" t="s">
        <v>169</v>
      </c>
      <c r="E20" s="47" t="s">
        <v>90</v>
      </c>
      <c r="F20" s="47" t="s">
        <v>74</v>
      </c>
      <c r="G20" s="48">
        <v>650</v>
      </c>
      <c r="H20" s="59"/>
    </row>
    <row r="21" spans="1:8" x14ac:dyDescent="0.2">
      <c r="A21" s="50"/>
      <c r="B21" s="43" t="s">
        <v>52</v>
      </c>
      <c r="C21" s="44" t="s">
        <v>53</v>
      </c>
      <c r="D21" s="63" t="s">
        <v>169</v>
      </c>
      <c r="E21" s="47" t="s">
        <v>103</v>
      </c>
      <c r="F21" s="47" t="s">
        <v>86</v>
      </c>
      <c r="G21" s="48">
        <v>2388</v>
      </c>
      <c r="H21" s="59" t="s">
        <v>63</v>
      </c>
    </row>
    <row r="22" spans="1:8" x14ac:dyDescent="0.2">
      <c r="A22" s="50"/>
      <c r="B22" s="43" t="s">
        <v>52</v>
      </c>
      <c r="C22" s="44" t="s">
        <v>53</v>
      </c>
      <c r="D22" s="63" t="s">
        <v>169</v>
      </c>
      <c r="E22" s="47" t="s">
        <v>104</v>
      </c>
      <c r="F22" s="47" t="s">
        <v>85</v>
      </c>
      <c r="G22" s="48">
        <v>23880</v>
      </c>
      <c r="H22" s="59" t="s">
        <v>63</v>
      </c>
    </row>
    <row r="23" spans="1:8" x14ac:dyDescent="0.2">
      <c r="A23" s="50"/>
      <c r="B23" s="43" t="s">
        <v>52</v>
      </c>
      <c r="C23" s="44" t="s">
        <v>53</v>
      </c>
      <c r="D23" s="63" t="s">
        <v>169</v>
      </c>
      <c r="E23" s="47" t="s">
        <v>105</v>
      </c>
      <c r="F23" s="47" t="s">
        <v>86</v>
      </c>
      <c r="G23" s="48">
        <v>3388</v>
      </c>
      <c r="H23" s="59" t="s">
        <v>63</v>
      </c>
    </row>
    <row r="24" spans="1:8" x14ac:dyDescent="0.2">
      <c r="A24" s="50"/>
      <c r="B24" s="43" t="s">
        <v>52</v>
      </c>
      <c r="C24" s="44" t="s">
        <v>53</v>
      </c>
      <c r="D24" s="63" t="s">
        <v>169</v>
      </c>
      <c r="E24" s="47" t="s">
        <v>106</v>
      </c>
      <c r="F24" s="47" t="s">
        <v>85</v>
      </c>
      <c r="G24" s="48">
        <v>28880</v>
      </c>
      <c r="H24" s="59" t="s">
        <v>63</v>
      </c>
    </row>
    <row r="25" spans="1:8" x14ac:dyDescent="0.2">
      <c r="A25" s="50"/>
      <c r="B25" s="43" t="s">
        <v>52</v>
      </c>
      <c r="C25" s="44" t="s">
        <v>53</v>
      </c>
      <c r="D25" s="63" t="s">
        <v>169</v>
      </c>
      <c r="E25" s="47" t="s">
        <v>107</v>
      </c>
      <c r="F25" s="47" t="s">
        <v>86</v>
      </c>
      <c r="G25" s="48">
        <v>4888</v>
      </c>
      <c r="H25" s="59" t="s">
        <v>63</v>
      </c>
    </row>
    <row r="26" spans="1:8" x14ac:dyDescent="0.2">
      <c r="A26" s="50"/>
      <c r="B26" s="43" t="s">
        <v>52</v>
      </c>
      <c r="C26" s="44" t="s">
        <v>53</v>
      </c>
      <c r="D26" s="63" t="s">
        <v>169</v>
      </c>
      <c r="E26" s="47" t="s">
        <v>108</v>
      </c>
      <c r="F26" s="47" t="s">
        <v>85</v>
      </c>
      <c r="G26" s="48">
        <v>48880</v>
      </c>
      <c r="H26" s="59" t="s">
        <v>63</v>
      </c>
    </row>
    <row r="27" spans="1:8" x14ac:dyDescent="0.2">
      <c r="A27" s="50"/>
      <c r="B27" s="43" t="s">
        <v>52</v>
      </c>
      <c r="C27" s="44" t="s">
        <v>53</v>
      </c>
      <c r="D27" s="63" t="s">
        <v>169</v>
      </c>
      <c r="E27" s="47" t="s">
        <v>109</v>
      </c>
      <c r="F27" s="47" t="s">
        <v>86</v>
      </c>
      <c r="G27" s="48">
        <v>7888</v>
      </c>
      <c r="H27" s="59" t="s">
        <v>63</v>
      </c>
    </row>
    <row r="28" spans="1:8" x14ac:dyDescent="0.2">
      <c r="A28" s="50"/>
      <c r="B28" s="43" t="s">
        <v>52</v>
      </c>
      <c r="C28" s="44" t="s">
        <v>53</v>
      </c>
      <c r="D28" s="63" t="s">
        <v>169</v>
      </c>
      <c r="E28" s="64" t="s">
        <v>110</v>
      </c>
      <c r="F28" s="47" t="s">
        <v>85</v>
      </c>
      <c r="G28" s="48">
        <v>78880</v>
      </c>
      <c r="H28" s="59" t="s">
        <v>63</v>
      </c>
    </row>
    <row r="29" spans="1:8" x14ac:dyDescent="0.2">
      <c r="A29" s="50"/>
      <c r="B29" s="43" t="s">
        <v>52</v>
      </c>
      <c r="C29" s="44" t="s">
        <v>53</v>
      </c>
      <c r="D29" s="63" t="s">
        <v>169</v>
      </c>
      <c r="E29" s="47" t="s">
        <v>111</v>
      </c>
      <c r="F29" s="47" t="s">
        <v>86</v>
      </c>
      <c r="G29" s="48">
        <v>15888</v>
      </c>
      <c r="H29" s="59" t="s">
        <v>63</v>
      </c>
    </row>
    <row r="30" spans="1:8" x14ac:dyDescent="0.2">
      <c r="A30" s="50"/>
      <c r="B30" s="43" t="s">
        <v>52</v>
      </c>
      <c r="C30" s="44" t="s">
        <v>53</v>
      </c>
      <c r="D30" s="63" t="s">
        <v>169</v>
      </c>
      <c r="E30" s="64" t="s">
        <v>112</v>
      </c>
      <c r="F30" s="47" t="s">
        <v>85</v>
      </c>
      <c r="G30" s="48">
        <v>128880</v>
      </c>
      <c r="H30" s="59" t="s">
        <v>63</v>
      </c>
    </row>
    <row r="31" spans="1:8" x14ac:dyDescent="0.2">
      <c r="A31" s="50"/>
      <c r="B31" s="43" t="s">
        <v>52</v>
      </c>
      <c r="C31" s="44" t="s">
        <v>53</v>
      </c>
      <c r="D31" s="63" t="s">
        <v>169</v>
      </c>
      <c r="E31" s="47" t="s">
        <v>113</v>
      </c>
      <c r="F31" s="47" t="s">
        <v>86</v>
      </c>
      <c r="G31" s="48">
        <v>50970</v>
      </c>
      <c r="H31" s="59" t="s">
        <v>63</v>
      </c>
    </row>
    <row r="32" spans="1:8" x14ac:dyDescent="0.2">
      <c r="A32" s="50"/>
      <c r="B32" s="43" t="s">
        <v>52</v>
      </c>
      <c r="C32" s="44" t="s">
        <v>53</v>
      </c>
      <c r="D32" s="63" t="s">
        <v>169</v>
      </c>
      <c r="E32" s="47" t="s">
        <v>114</v>
      </c>
      <c r="F32" s="47" t="s">
        <v>86</v>
      </c>
      <c r="G32" s="48">
        <v>300</v>
      </c>
      <c r="H32" s="59" t="s">
        <v>63</v>
      </c>
    </row>
    <row r="33" spans="1:8" ht="13.5" thickBot="1" x14ac:dyDescent="0.25">
      <c r="A33" s="51"/>
      <c r="B33" s="52" t="s">
        <v>52</v>
      </c>
      <c r="C33" s="53" t="s">
        <v>53</v>
      </c>
      <c r="D33" s="63" t="s">
        <v>169</v>
      </c>
      <c r="E33" s="55" t="s">
        <v>115</v>
      </c>
      <c r="F33" s="47" t="s">
        <v>85</v>
      </c>
      <c r="G33" s="56">
        <v>2400</v>
      </c>
      <c r="H33" s="60" t="s">
        <v>63</v>
      </c>
    </row>
    <row r="34" spans="1:8" x14ac:dyDescent="0.2">
      <c r="A34" s="58"/>
      <c r="B34" s="35" t="s">
        <v>52</v>
      </c>
      <c r="C34" s="36" t="s">
        <v>53</v>
      </c>
      <c r="D34" s="61" t="s">
        <v>170</v>
      </c>
      <c r="E34" s="39" t="s">
        <v>116</v>
      </c>
      <c r="F34" s="39" t="s">
        <v>74</v>
      </c>
      <c r="G34" s="40">
        <v>5000</v>
      </c>
      <c r="H34" s="62"/>
    </row>
    <row r="35" spans="1:8" x14ac:dyDescent="0.2">
      <c r="A35" s="50"/>
      <c r="B35" s="43" t="s">
        <v>52</v>
      </c>
      <c r="C35" s="44" t="s">
        <v>53</v>
      </c>
      <c r="D35" s="63" t="s">
        <v>170</v>
      </c>
      <c r="E35" s="47" t="s">
        <v>117</v>
      </c>
      <c r="F35" s="47" t="s">
        <v>74</v>
      </c>
      <c r="G35" s="48">
        <v>10000</v>
      </c>
      <c r="H35" s="59"/>
    </row>
    <row r="36" spans="1:8" x14ac:dyDescent="0.2">
      <c r="A36" s="50"/>
      <c r="B36" s="43" t="s">
        <v>52</v>
      </c>
      <c r="C36" s="44" t="s">
        <v>53</v>
      </c>
      <c r="D36" s="63" t="s">
        <v>170</v>
      </c>
      <c r="E36" s="47" t="s">
        <v>118</v>
      </c>
      <c r="F36" s="47" t="s">
        <v>86</v>
      </c>
      <c r="G36" s="48">
        <v>3680</v>
      </c>
      <c r="H36" s="59" t="s">
        <v>64</v>
      </c>
    </row>
    <row r="37" spans="1:8" x14ac:dyDescent="0.2">
      <c r="A37" s="50"/>
      <c r="B37" s="43" t="s">
        <v>52</v>
      </c>
      <c r="C37" s="44" t="s">
        <v>53</v>
      </c>
      <c r="D37" s="63" t="s">
        <v>170</v>
      </c>
      <c r="E37" s="25" t="s">
        <v>119</v>
      </c>
      <c r="F37" s="47" t="s">
        <v>86</v>
      </c>
      <c r="G37" s="48">
        <v>6830</v>
      </c>
      <c r="H37" s="59" t="s">
        <v>64</v>
      </c>
    </row>
    <row r="38" spans="1:8" x14ac:dyDescent="0.2">
      <c r="A38" s="50"/>
      <c r="B38" s="43" t="s">
        <v>52</v>
      </c>
      <c r="C38" s="44" t="s">
        <v>53</v>
      </c>
      <c r="D38" s="63" t="s">
        <v>170</v>
      </c>
      <c r="E38" s="25" t="s">
        <v>120</v>
      </c>
      <c r="F38" s="47" t="s">
        <v>86</v>
      </c>
      <c r="G38" s="48">
        <v>9850</v>
      </c>
      <c r="H38" s="59" t="s">
        <v>64</v>
      </c>
    </row>
    <row r="39" spans="1:8" x14ac:dyDescent="0.2">
      <c r="A39" s="50"/>
      <c r="B39" s="43" t="s">
        <v>52</v>
      </c>
      <c r="C39" s="44" t="s">
        <v>53</v>
      </c>
      <c r="D39" s="63" t="s">
        <v>170</v>
      </c>
      <c r="E39" s="25" t="s">
        <v>121</v>
      </c>
      <c r="F39" s="47" t="s">
        <v>86</v>
      </c>
      <c r="G39" s="48">
        <v>12790</v>
      </c>
      <c r="H39" s="59" t="s">
        <v>64</v>
      </c>
    </row>
    <row r="40" spans="1:8" x14ac:dyDescent="0.2">
      <c r="A40" s="50"/>
      <c r="B40" s="43" t="s">
        <v>52</v>
      </c>
      <c r="C40" s="44" t="s">
        <v>53</v>
      </c>
      <c r="D40" s="63" t="s">
        <v>170</v>
      </c>
      <c r="E40" s="25" t="s">
        <v>122</v>
      </c>
      <c r="F40" s="47" t="s">
        <v>86</v>
      </c>
      <c r="G40" s="48">
        <v>14230</v>
      </c>
      <c r="H40" s="59" t="s">
        <v>64</v>
      </c>
    </row>
    <row r="41" spans="1:8" x14ac:dyDescent="0.2">
      <c r="A41" s="50"/>
      <c r="B41" s="43" t="s">
        <v>52</v>
      </c>
      <c r="C41" s="44" t="s">
        <v>53</v>
      </c>
      <c r="D41" s="63" t="s">
        <v>170</v>
      </c>
      <c r="E41" s="25" t="s">
        <v>103</v>
      </c>
      <c r="F41" s="47" t="s">
        <v>86</v>
      </c>
      <c r="G41" s="48">
        <v>11980</v>
      </c>
      <c r="H41" s="59" t="s">
        <v>64</v>
      </c>
    </row>
    <row r="42" spans="1:8" x14ac:dyDescent="0.2">
      <c r="A42" s="50"/>
      <c r="B42" s="43" t="s">
        <v>52</v>
      </c>
      <c r="C42" s="44" t="s">
        <v>53</v>
      </c>
      <c r="D42" s="63" t="s">
        <v>170</v>
      </c>
      <c r="E42" s="25" t="s">
        <v>123</v>
      </c>
      <c r="F42" s="47" t="s">
        <v>86</v>
      </c>
      <c r="G42" s="48">
        <v>14100</v>
      </c>
      <c r="H42" s="59" t="s">
        <v>64</v>
      </c>
    </row>
    <row r="43" spans="1:8" x14ac:dyDescent="0.2">
      <c r="A43" s="50"/>
      <c r="B43" s="43" t="s">
        <v>52</v>
      </c>
      <c r="C43" s="44" t="s">
        <v>53</v>
      </c>
      <c r="D43" s="63" t="s">
        <v>170</v>
      </c>
      <c r="E43" s="25" t="s">
        <v>124</v>
      </c>
      <c r="F43" s="47" t="s">
        <v>86</v>
      </c>
      <c r="G43" s="48">
        <v>16240</v>
      </c>
      <c r="H43" s="59" t="s">
        <v>64</v>
      </c>
    </row>
    <row r="44" spans="1:8" x14ac:dyDescent="0.2">
      <c r="A44" s="50"/>
      <c r="B44" s="43" t="s">
        <v>52</v>
      </c>
      <c r="C44" s="44" t="s">
        <v>53</v>
      </c>
      <c r="D44" s="63" t="s">
        <v>170</v>
      </c>
      <c r="E44" s="25" t="s">
        <v>125</v>
      </c>
      <c r="F44" s="47" t="s">
        <v>86</v>
      </c>
      <c r="G44" s="48">
        <v>18340</v>
      </c>
      <c r="H44" s="59" t="s">
        <v>64</v>
      </c>
    </row>
    <row r="45" spans="1:8" x14ac:dyDescent="0.2">
      <c r="A45" s="50"/>
      <c r="B45" s="43" t="s">
        <v>52</v>
      </c>
      <c r="C45" s="44" t="s">
        <v>53</v>
      </c>
      <c r="D45" s="63" t="s">
        <v>170</v>
      </c>
      <c r="E45" s="25" t="s">
        <v>126</v>
      </c>
      <c r="F45" s="47" t="s">
        <v>86</v>
      </c>
      <c r="G45" s="48">
        <v>20450</v>
      </c>
      <c r="H45" s="59" t="s">
        <v>64</v>
      </c>
    </row>
    <row r="46" spans="1:8" x14ac:dyDescent="0.2">
      <c r="A46" s="50"/>
      <c r="B46" s="43" t="s">
        <v>52</v>
      </c>
      <c r="C46" s="44" t="s">
        <v>53</v>
      </c>
      <c r="D46" s="63" t="s">
        <v>170</v>
      </c>
      <c r="E46" s="25" t="s">
        <v>105</v>
      </c>
      <c r="F46" s="47" t="s">
        <v>86</v>
      </c>
      <c r="G46" s="48">
        <v>22580</v>
      </c>
      <c r="H46" s="59" t="s">
        <v>66</v>
      </c>
    </row>
    <row r="47" spans="1:8" x14ac:dyDescent="0.2">
      <c r="A47" s="50"/>
      <c r="B47" s="43" t="s">
        <v>52</v>
      </c>
      <c r="C47" s="44" t="s">
        <v>53</v>
      </c>
      <c r="D47" s="63" t="s">
        <v>170</v>
      </c>
      <c r="E47" s="25" t="s">
        <v>127</v>
      </c>
      <c r="F47" s="47" t="s">
        <v>86</v>
      </c>
      <c r="G47" s="48">
        <v>36770</v>
      </c>
      <c r="H47" s="59" t="s">
        <v>66</v>
      </c>
    </row>
    <row r="48" spans="1:8" x14ac:dyDescent="0.2">
      <c r="A48" s="50"/>
      <c r="B48" s="43" t="s">
        <v>52</v>
      </c>
      <c r="C48" s="44" t="s">
        <v>53</v>
      </c>
      <c r="D48" s="63" t="s">
        <v>170</v>
      </c>
      <c r="E48" s="47" t="s">
        <v>107</v>
      </c>
      <c r="F48" s="47" t="s">
        <v>86</v>
      </c>
      <c r="G48" s="48">
        <v>50960</v>
      </c>
      <c r="H48" s="59" t="s">
        <v>65</v>
      </c>
    </row>
    <row r="49" spans="1:8" x14ac:dyDescent="0.2">
      <c r="A49" s="50"/>
      <c r="B49" s="43" t="s">
        <v>52</v>
      </c>
      <c r="C49" s="44" t="s">
        <v>53</v>
      </c>
      <c r="D49" s="63" t="s">
        <v>170</v>
      </c>
      <c r="E49" s="64" t="s">
        <v>128</v>
      </c>
      <c r="F49" s="47" t="s">
        <v>86</v>
      </c>
      <c r="G49" s="48">
        <v>63310</v>
      </c>
      <c r="H49" s="59" t="s">
        <v>65</v>
      </c>
    </row>
    <row r="50" spans="1:8" x14ac:dyDescent="0.2">
      <c r="A50" s="50"/>
      <c r="B50" s="43" t="s">
        <v>52</v>
      </c>
      <c r="C50" s="44" t="s">
        <v>53</v>
      </c>
      <c r="D50" s="63" t="s">
        <v>170</v>
      </c>
      <c r="E50" s="64" t="s">
        <v>129</v>
      </c>
      <c r="F50" s="47" t="s">
        <v>86</v>
      </c>
      <c r="G50" s="48">
        <v>75670</v>
      </c>
      <c r="H50" s="59" t="s">
        <v>65</v>
      </c>
    </row>
    <row r="51" spans="1:8" x14ac:dyDescent="0.2">
      <c r="A51" s="50"/>
      <c r="B51" s="43" t="s">
        <v>52</v>
      </c>
      <c r="C51" s="44" t="s">
        <v>53</v>
      </c>
      <c r="D51" s="63" t="s">
        <v>170</v>
      </c>
      <c r="E51" s="64" t="s">
        <v>130</v>
      </c>
      <c r="F51" s="47" t="s">
        <v>86</v>
      </c>
      <c r="G51" s="48">
        <v>125100</v>
      </c>
      <c r="H51" s="59" t="s">
        <v>67</v>
      </c>
    </row>
    <row r="52" spans="1:8" x14ac:dyDescent="0.2">
      <c r="A52" s="50"/>
      <c r="B52" s="43" t="s">
        <v>52</v>
      </c>
      <c r="C52" s="44" t="s">
        <v>53</v>
      </c>
      <c r="D52" s="63" t="s">
        <v>170</v>
      </c>
      <c r="E52" s="64" t="s">
        <v>131</v>
      </c>
      <c r="F52" s="47" t="s">
        <v>86</v>
      </c>
      <c r="G52" s="48">
        <v>146840</v>
      </c>
      <c r="H52" s="59" t="s">
        <v>67</v>
      </c>
    </row>
    <row r="53" spans="1:8" x14ac:dyDescent="0.2">
      <c r="A53" s="50"/>
      <c r="B53" s="43" t="s">
        <v>52</v>
      </c>
      <c r="C53" s="44" t="s">
        <v>53</v>
      </c>
      <c r="D53" s="63" t="s">
        <v>170</v>
      </c>
      <c r="E53" s="64" t="s">
        <v>132</v>
      </c>
      <c r="F53" s="47" t="s">
        <v>86</v>
      </c>
      <c r="G53" s="48">
        <v>190320</v>
      </c>
      <c r="H53" s="59" t="s">
        <v>67</v>
      </c>
    </row>
    <row r="54" spans="1:8" x14ac:dyDescent="0.2">
      <c r="A54" s="50"/>
      <c r="B54" s="43" t="s">
        <v>52</v>
      </c>
      <c r="C54" s="44" t="s">
        <v>53</v>
      </c>
      <c r="D54" s="63" t="s">
        <v>170</v>
      </c>
      <c r="E54" s="64" t="s">
        <v>113</v>
      </c>
      <c r="F54" s="47" t="s">
        <v>86</v>
      </c>
      <c r="G54" s="48">
        <v>233800</v>
      </c>
      <c r="H54" s="59" t="s">
        <v>68</v>
      </c>
    </row>
    <row r="55" spans="1:8" x14ac:dyDescent="0.2">
      <c r="A55" s="50"/>
      <c r="B55" s="43" t="s">
        <v>52</v>
      </c>
      <c r="C55" s="44" t="s">
        <v>53</v>
      </c>
      <c r="D55" s="63" t="s">
        <v>170</v>
      </c>
      <c r="E55" s="64" t="s">
        <v>133</v>
      </c>
      <c r="F55" s="47" t="s">
        <v>86</v>
      </c>
      <c r="G55" s="48">
        <v>438066.66700000002</v>
      </c>
      <c r="H55" s="59" t="s">
        <v>68</v>
      </c>
    </row>
    <row r="56" spans="1:8" x14ac:dyDescent="0.2">
      <c r="A56" s="50"/>
      <c r="B56" s="43" t="s">
        <v>52</v>
      </c>
      <c r="C56" s="44" t="s">
        <v>53</v>
      </c>
      <c r="D56" s="63" t="s">
        <v>170</v>
      </c>
      <c r="E56" s="64" t="s">
        <v>134</v>
      </c>
      <c r="F56" s="47" t="s">
        <v>86</v>
      </c>
      <c r="G56" s="48">
        <v>540200</v>
      </c>
      <c r="H56" s="59" t="s">
        <v>69</v>
      </c>
    </row>
    <row r="57" spans="1:8" x14ac:dyDescent="0.2">
      <c r="A57" s="50"/>
      <c r="B57" s="43" t="s">
        <v>52</v>
      </c>
      <c r="C57" s="44" t="s">
        <v>53</v>
      </c>
      <c r="D57" s="63" t="s">
        <v>170</v>
      </c>
      <c r="E57" s="64" t="s">
        <v>135</v>
      </c>
      <c r="F57" s="47" t="s">
        <v>86</v>
      </c>
      <c r="G57" s="48">
        <v>2090300</v>
      </c>
      <c r="H57" s="59" t="s">
        <v>70</v>
      </c>
    </row>
    <row r="58" spans="1:8" ht="13.5" thickBot="1" x14ac:dyDescent="0.25">
      <c r="A58" s="51"/>
      <c r="B58" s="52" t="s">
        <v>52</v>
      </c>
      <c r="C58" s="53" t="s">
        <v>53</v>
      </c>
      <c r="D58" s="63" t="s">
        <v>170</v>
      </c>
      <c r="E58" s="66" t="s">
        <v>136</v>
      </c>
      <c r="F58" s="47" t="s">
        <v>86</v>
      </c>
      <c r="G58" s="56">
        <v>3991300</v>
      </c>
      <c r="H58" s="60" t="s">
        <v>71</v>
      </c>
    </row>
    <row r="59" spans="1:8" x14ac:dyDescent="0.2">
      <c r="A59" s="58"/>
      <c r="B59" s="67" t="s">
        <v>55</v>
      </c>
      <c r="C59" s="68" t="s">
        <v>53</v>
      </c>
      <c r="D59" s="37" t="s">
        <v>171</v>
      </c>
      <c r="E59" s="38" t="s">
        <v>89</v>
      </c>
      <c r="F59" s="39" t="s">
        <v>74</v>
      </c>
      <c r="G59" s="40">
        <v>500</v>
      </c>
      <c r="H59" s="62"/>
    </row>
    <row r="60" spans="1:8" x14ac:dyDescent="0.2">
      <c r="A60" s="50"/>
      <c r="B60" s="69" t="s">
        <v>55</v>
      </c>
      <c r="C60" s="70" t="s">
        <v>53</v>
      </c>
      <c r="D60" s="45" t="s">
        <v>171</v>
      </c>
      <c r="E60" s="47" t="s">
        <v>90</v>
      </c>
      <c r="F60" s="47" t="s">
        <v>74</v>
      </c>
      <c r="G60" s="48">
        <v>0</v>
      </c>
      <c r="H60" s="59"/>
    </row>
    <row r="61" spans="1:8" x14ac:dyDescent="0.2">
      <c r="A61" s="50"/>
      <c r="B61" s="69" t="s">
        <v>55</v>
      </c>
      <c r="C61" s="70" t="s">
        <v>53</v>
      </c>
      <c r="D61" s="45" t="s">
        <v>171</v>
      </c>
      <c r="E61" s="47" t="s">
        <v>137</v>
      </c>
      <c r="F61" s="47" t="s">
        <v>86</v>
      </c>
      <c r="G61" s="48">
        <v>96</v>
      </c>
      <c r="H61" s="59"/>
    </row>
    <row r="62" spans="1:8" x14ac:dyDescent="0.2">
      <c r="A62" s="50"/>
      <c r="B62" s="69" t="s">
        <v>55</v>
      </c>
      <c r="C62" s="70" t="s">
        <v>53</v>
      </c>
      <c r="D62" s="45" t="s">
        <v>171</v>
      </c>
      <c r="E62" s="47" t="s">
        <v>138</v>
      </c>
      <c r="F62" s="47" t="s">
        <v>85</v>
      </c>
      <c r="G62" s="48">
        <v>960</v>
      </c>
      <c r="H62" s="59"/>
    </row>
    <row r="63" spans="1:8" x14ac:dyDescent="0.2">
      <c r="A63" s="50"/>
      <c r="B63" s="69" t="s">
        <v>55</v>
      </c>
      <c r="C63" s="70" t="s">
        <v>53</v>
      </c>
      <c r="D63" s="45" t="s">
        <v>171</v>
      </c>
      <c r="E63" s="47" t="s">
        <v>139</v>
      </c>
      <c r="F63" s="47" t="s">
        <v>86</v>
      </c>
      <c r="G63" s="48">
        <v>156</v>
      </c>
      <c r="H63" s="59"/>
    </row>
    <row r="64" spans="1:8" x14ac:dyDescent="0.2">
      <c r="A64" s="50"/>
      <c r="B64" s="69" t="s">
        <v>55</v>
      </c>
      <c r="C64" s="70" t="s">
        <v>53</v>
      </c>
      <c r="D64" s="45" t="s">
        <v>171</v>
      </c>
      <c r="E64" s="47" t="s">
        <v>140</v>
      </c>
      <c r="F64" s="47" t="s">
        <v>85</v>
      </c>
      <c r="G64" s="48">
        <v>1560</v>
      </c>
      <c r="H64" s="59"/>
    </row>
    <row r="65" spans="1:8" x14ac:dyDescent="0.2">
      <c r="A65" s="50"/>
      <c r="B65" s="69" t="s">
        <v>55</v>
      </c>
      <c r="C65" s="70" t="s">
        <v>53</v>
      </c>
      <c r="D65" s="45" t="s">
        <v>171</v>
      </c>
      <c r="E65" s="47" t="s">
        <v>141</v>
      </c>
      <c r="F65" s="47" t="s">
        <v>86</v>
      </c>
      <c r="G65" s="48">
        <v>198</v>
      </c>
      <c r="H65" s="59"/>
    </row>
    <row r="66" spans="1:8" ht="13.5" thickBot="1" x14ac:dyDescent="0.25">
      <c r="A66" s="51"/>
      <c r="B66" s="71" t="s">
        <v>55</v>
      </c>
      <c r="C66" s="72" t="s">
        <v>53</v>
      </c>
      <c r="D66" s="45" t="s">
        <v>171</v>
      </c>
      <c r="E66" s="55" t="s">
        <v>142</v>
      </c>
      <c r="F66" s="55" t="s">
        <v>85</v>
      </c>
      <c r="G66" s="56">
        <v>1980</v>
      </c>
      <c r="H66" s="60"/>
    </row>
    <row r="67" spans="1:8" x14ac:dyDescent="0.2">
      <c r="A67" s="58"/>
      <c r="B67" s="67" t="s">
        <v>55</v>
      </c>
      <c r="C67" s="68" t="s">
        <v>53</v>
      </c>
      <c r="D67" s="61" t="s">
        <v>172</v>
      </c>
      <c r="E67" s="38" t="s">
        <v>89</v>
      </c>
      <c r="F67" s="39" t="s">
        <v>74</v>
      </c>
      <c r="G67" s="40">
        <v>500</v>
      </c>
      <c r="H67" s="62"/>
    </row>
    <row r="68" spans="1:8" x14ac:dyDescent="0.2">
      <c r="A68" s="50"/>
      <c r="B68" s="69" t="s">
        <v>55</v>
      </c>
      <c r="C68" s="70" t="s">
        <v>53</v>
      </c>
      <c r="D68" s="63" t="s">
        <v>172</v>
      </c>
      <c r="E68" s="47" t="s">
        <v>90</v>
      </c>
      <c r="F68" s="47" t="s">
        <v>74</v>
      </c>
      <c r="G68" s="48">
        <v>0</v>
      </c>
      <c r="H68" s="59"/>
    </row>
    <row r="69" spans="1:8" x14ac:dyDescent="0.2">
      <c r="A69" s="50"/>
      <c r="B69" s="69" t="s">
        <v>55</v>
      </c>
      <c r="C69" s="70" t="s">
        <v>53</v>
      </c>
      <c r="D69" s="63" t="s">
        <v>172</v>
      </c>
      <c r="E69" s="47" t="s">
        <v>111</v>
      </c>
      <c r="F69" s="47" t="s">
        <v>86</v>
      </c>
      <c r="G69" s="48">
        <v>600</v>
      </c>
      <c r="H69" s="59"/>
    </row>
    <row r="70" spans="1:8" x14ac:dyDescent="0.2">
      <c r="A70" s="50"/>
      <c r="B70" s="69" t="s">
        <v>55</v>
      </c>
      <c r="C70" s="70" t="s">
        <v>53</v>
      </c>
      <c r="D70" s="63" t="s">
        <v>172</v>
      </c>
      <c r="E70" s="47" t="s">
        <v>112</v>
      </c>
      <c r="F70" s="47" t="s">
        <v>85</v>
      </c>
      <c r="G70" s="48">
        <v>5760</v>
      </c>
      <c r="H70" s="59"/>
    </row>
    <row r="71" spans="1:8" x14ac:dyDescent="0.2">
      <c r="A71" s="50"/>
      <c r="B71" s="69" t="s">
        <v>55</v>
      </c>
      <c r="C71" s="70" t="s">
        <v>53</v>
      </c>
      <c r="D71" s="63" t="s">
        <v>172</v>
      </c>
      <c r="E71" s="47" t="s">
        <v>113</v>
      </c>
      <c r="F71" s="47" t="s">
        <v>86</v>
      </c>
      <c r="G71" s="48">
        <v>1000</v>
      </c>
      <c r="H71" s="59"/>
    </row>
    <row r="72" spans="1:8" ht="13.5" thickBot="1" x14ac:dyDescent="0.25">
      <c r="A72" s="50"/>
      <c r="B72" s="69" t="s">
        <v>55</v>
      </c>
      <c r="C72" s="70" t="s">
        <v>53</v>
      </c>
      <c r="D72" s="63" t="s">
        <v>172</v>
      </c>
      <c r="E72" s="47" t="s">
        <v>143</v>
      </c>
      <c r="F72" s="47" t="s">
        <v>85</v>
      </c>
      <c r="G72" s="48">
        <v>9600</v>
      </c>
      <c r="H72" s="59"/>
    </row>
    <row r="73" spans="1:8" x14ac:dyDescent="0.2">
      <c r="A73" s="58"/>
      <c r="B73" s="67" t="s">
        <v>55</v>
      </c>
      <c r="C73" s="68" t="s">
        <v>53</v>
      </c>
      <c r="D73" s="61" t="s">
        <v>173</v>
      </c>
      <c r="E73" s="38" t="s">
        <v>89</v>
      </c>
      <c r="F73" s="39" t="s">
        <v>74</v>
      </c>
      <c r="G73" s="40">
        <v>1500</v>
      </c>
      <c r="H73" s="62"/>
    </row>
    <row r="74" spans="1:8" x14ac:dyDescent="0.2">
      <c r="A74" s="50"/>
      <c r="B74" s="69" t="s">
        <v>55</v>
      </c>
      <c r="C74" s="70" t="s">
        <v>53</v>
      </c>
      <c r="D74" s="63" t="s">
        <v>173</v>
      </c>
      <c r="E74" s="47" t="s">
        <v>90</v>
      </c>
      <c r="F74" s="47" t="s">
        <v>74</v>
      </c>
      <c r="G74" s="48">
        <v>0</v>
      </c>
      <c r="H74" s="59"/>
    </row>
    <row r="75" spans="1:8" x14ac:dyDescent="0.2">
      <c r="A75" s="50"/>
      <c r="B75" s="69" t="s">
        <v>55</v>
      </c>
      <c r="C75" s="70" t="s">
        <v>53</v>
      </c>
      <c r="D75" s="63" t="s">
        <v>173</v>
      </c>
      <c r="E75" s="47" t="s">
        <v>123</v>
      </c>
      <c r="F75" s="47" t="s">
        <v>86</v>
      </c>
      <c r="G75" s="48">
        <v>2100</v>
      </c>
      <c r="H75" s="59" t="s">
        <v>57</v>
      </c>
    </row>
    <row r="76" spans="1:8" x14ac:dyDescent="0.2">
      <c r="A76" s="50"/>
      <c r="B76" s="69" t="s">
        <v>55</v>
      </c>
      <c r="C76" s="70" t="s">
        <v>53</v>
      </c>
      <c r="D76" s="63" t="s">
        <v>173</v>
      </c>
      <c r="E76" s="47" t="s">
        <v>144</v>
      </c>
      <c r="F76" s="47" t="s">
        <v>85</v>
      </c>
      <c r="G76" s="48">
        <v>21000</v>
      </c>
      <c r="H76" s="59" t="s">
        <v>57</v>
      </c>
    </row>
    <row r="77" spans="1:8" x14ac:dyDescent="0.2">
      <c r="A77" s="50"/>
      <c r="B77" s="69" t="s">
        <v>55</v>
      </c>
      <c r="C77" s="70" t="s">
        <v>53</v>
      </c>
      <c r="D77" s="63" t="s">
        <v>173</v>
      </c>
      <c r="E77" s="47" t="s">
        <v>105</v>
      </c>
      <c r="F77" s="47" t="s">
        <v>86</v>
      </c>
      <c r="G77" s="48">
        <v>2520</v>
      </c>
      <c r="H77" s="59" t="s">
        <v>58</v>
      </c>
    </row>
    <row r="78" spans="1:8" x14ac:dyDescent="0.2">
      <c r="A78" s="50"/>
      <c r="B78" s="69" t="s">
        <v>55</v>
      </c>
      <c r="C78" s="70" t="s">
        <v>53</v>
      </c>
      <c r="D78" s="63" t="s">
        <v>173</v>
      </c>
      <c r="E78" s="47" t="s">
        <v>106</v>
      </c>
      <c r="F78" s="47" t="s">
        <v>85</v>
      </c>
      <c r="G78" s="48">
        <v>25200</v>
      </c>
      <c r="H78" s="59" t="s">
        <v>58</v>
      </c>
    </row>
    <row r="79" spans="1:8" x14ac:dyDescent="0.2">
      <c r="A79" s="50"/>
      <c r="B79" s="69" t="s">
        <v>55</v>
      </c>
      <c r="C79" s="70" t="s">
        <v>53</v>
      </c>
      <c r="D79" s="63" t="s">
        <v>173</v>
      </c>
      <c r="E79" s="47" t="s">
        <v>107</v>
      </c>
      <c r="F79" s="47" t="s">
        <v>86</v>
      </c>
      <c r="G79" s="48">
        <v>4800</v>
      </c>
      <c r="H79" s="59" t="s">
        <v>58</v>
      </c>
    </row>
    <row r="80" spans="1:8" x14ac:dyDescent="0.2">
      <c r="A80" s="50"/>
      <c r="B80" s="69" t="s">
        <v>55</v>
      </c>
      <c r="C80" s="70" t="s">
        <v>53</v>
      </c>
      <c r="D80" s="63" t="s">
        <v>173</v>
      </c>
      <c r="E80" s="64" t="s">
        <v>108</v>
      </c>
      <c r="F80" s="47" t="s">
        <v>85</v>
      </c>
      <c r="G80" s="48">
        <v>48000</v>
      </c>
      <c r="H80" s="59" t="s">
        <v>58</v>
      </c>
    </row>
    <row r="81" spans="1:9" x14ac:dyDescent="0.2">
      <c r="A81" s="50"/>
      <c r="B81" s="69" t="s">
        <v>55</v>
      </c>
      <c r="C81" s="70" t="s">
        <v>53</v>
      </c>
      <c r="D81" s="63" t="s">
        <v>173</v>
      </c>
      <c r="E81" s="47" t="s">
        <v>109</v>
      </c>
      <c r="F81" s="47" t="s">
        <v>86</v>
      </c>
      <c r="G81" s="48">
        <v>7500</v>
      </c>
      <c r="H81" s="59" t="s">
        <v>58</v>
      </c>
    </row>
    <row r="82" spans="1:9" x14ac:dyDescent="0.2">
      <c r="A82" s="50"/>
      <c r="B82" s="69" t="s">
        <v>55</v>
      </c>
      <c r="C82" s="70" t="s">
        <v>53</v>
      </c>
      <c r="D82" s="63" t="s">
        <v>173</v>
      </c>
      <c r="E82" s="64" t="s">
        <v>110</v>
      </c>
      <c r="F82" s="47" t="s">
        <v>85</v>
      </c>
      <c r="G82" s="48">
        <v>750000</v>
      </c>
      <c r="H82" s="59" t="s">
        <v>58</v>
      </c>
    </row>
    <row r="83" spans="1:9" x14ac:dyDescent="0.2">
      <c r="A83" s="50"/>
      <c r="B83" s="69" t="s">
        <v>55</v>
      </c>
      <c r="C83" s="70" t="s">
        <v>53</v>
      </c>
      <c r="D83" s="63" t="s">
        <v>173</v>
      </c>
      <c r="E83" s="47" t="s">
        <v>111</v>
      </c>
      <c r="F83" s="47" t="s">
        <v>86</v>
      </c>
      <c r="G83" s="48">
        <v>13200</v>
      </c>
      <c r="H83" s="59" t="s">
        <v>58</v>
      </c>
    </row>
    <row r="84" spans="1:9" x14ac:dyDescent="0.2">
      <c r="A84" s="82"/>
      <c r="B84" s="69" t="s">
        <v>55</v>
      </c>
      <c r="C84" s="70" t="s">
        <v>53</v>
      </c>
      <c r="D84" s="63" t="s">
        <v>173</v>
      </c>
      <c r="E84" s="47" t="s">
        <v>111</v>
      </c>
      <c r="F84" s="47" t="s">
        <v>85</v>
      </c>
      <c r="G84" s="48">
        <v>132000</v>
      </c>
      <c r="H84" s="59" t="s">
        <v>58</v>
      </c>
    </row>
    <row r="85" spans="1:9" x14ac:dyDescent="0.2">
      <c r="A85" s="50"/>
      <c r="B85" s="69" t="s">
        <v>55</v>
      </c>
      <c r="C85" s="70" t="s">
        <v>53</v>
      </c>
      <c r="D85" s="63" t="s">
        <v>173</v>
      </c>
      <c r="E85" s="47" t="s">
        <v>132</v>
      </c>
      <c r="F85" s="47" t="s">
        <v>86</v>
      </c>
      <c r="G85" s="48">
        <v>21000</v>
      </c>
      <c r="H85" s="59" t="s">
        <v>84</v>
      </c>
    </row>
    <row r="86" spans="1:9" ht="13.5" thickBot="1" x14ac:dyDescent="0.25">
      <c r="A86" s="50"/>
      <c r="B86" s="69" t="s">
        <v>55</v>
      </c>
      <c r="C86" s="70" t="s">
        <v>53</v>
      </c>
      <c r="D86" s="63" t="s">
        <v>173</v>
      </c>
      <c r="E86" s="64" t="s">
        <v>145</v>
      </c>
      <c r="F86" s="47" t="s">
        <v>85</v>
      </c>
      <c r="G86" s="48">
        <v>210000</v>
      </c>
      <c r="H86" s="59" t="s">
        <v>84</v>
      </c>
    </row>
    <row r="87" spans="1:9" x14ac:dyDescent="0.2">
      <c r="A87" s="58"/>
      <c r="B87" s="67" t="s">
        <v>55</v>
      </c>
      <c r="C87" s="68" t="s">
        <v>53</v>
      </c>
      <c r="D87" s="61" t="s">
        <v>174</v>
      </c>
      <c r="E87" s="38" t="s">
        <v>89</v>
      </c>
      <c r="F87" s="39" t="s">
        <v>74</v>
      </c>
      <c r="G87" s="40">
        <v>3000</v>
      </c>
      <c r="H87" s="62"/>
      <c r="I87" s="83"/>
    </row>
    <row r="88" spans="1:9" x14ac:dyDescent="0.2">
      <c r="A88" s="50"/>
      <c r="B88" s="69" t="s">
        <v>55</v>
      </c>
      <c r="C88" s="70" t="s">
        <v>53</v>
      </c>
      <c r="D88" s="63" t="s">
        <v>174</v>
      </c>
      <c r="E88" s="47" t="s">
        <v>118</v>
      </c>
      <c r="F88" s="47" t="s">
        <v>86</v>
      </c>
      <c r="G88" s="48">
        <v>2880</v>
      </c>
      <c r="H88" s="59" t="s">
        <v>59</v>
      </c>
      <c r="I88" s="84"/>
    </row>
    <row r="89" spans="1:9" x14ac:dyDescent="0.2">
      <c r="A89" s="50"/>
      <c r="B89" s="69" t="s">
        <v>55</v>
      </c>
      <c r="C89" s="70" t="s">
        <v>53</v>
      </c>
      <c r="D89" s="63" t="s">
        <v>174</v>
      </c>
      <c r="E89" s="47" t="s">
        <v>119</v>
      </c>
      <c r="F89" s="47" t="s">
        <v>86</v>
      </c>
      <c r="G89" s="48">
        <v>5786</v>
      </c>
      <c r="H89" s="59" t="s">
        <v>59</v>
      </c>
      <c r="I89" s="84"/>
    </row>
    <row r="90" spans="1:9" x14ac:dyDescent="0.2">
      <c r="A90" s="50"/>
      <c r="B90" s="69" t="s">
        <v>55</v>
      </c>
      <c r="C90" s="70" t="s">
        <v>53</v>
      </c>
      <c r="D90" s="63" t="s">
        <v>174</v>
      </c>
      <c r="E90" s="47" t="s">
        <v>120</v>
      </c>
      <c r="F90" s="47" t="s">
        <v>86</v>
      </c>
      <c r="G90" s="48">
        <v>8691</v>
      </c>
      <c r="H90" s="59" t="s">
        <v>59</v>
      </c>
      <c r="I90" s="84"/>
    </row>
    <row r="91" spans="1:9" x14ac:dyDescent="0.2">
      <c r="A91" s="50"/>
      <c r="B91" s="69" t="s">
        <v>55</v>
      </c>
      <c r="C91" s="70" t="s">
        <v>53</v>
      </c>
      <c r="D91" s="63" t="s">
        <v>174</v>
      </c>
      <c r="E91" s="47" t="s">
        <v>121</v>
      </c>
      <c r="F91" s="47" t="s">
        <v>86</v>
      </c>
      <c r="G91" s="48">
        <v>11597</v>
      </c>
      <c r="H91" s="59" t="s">
        <v>59</v>
      </c>
      <c r="I91" s="84"/>
    </row>
    <row r="92" spans="1:9" x14ac:dyDescent="0.2">
      <c r="A92" s="50"/>
      <c r="B92" s="69" t="s">
        <v>55</v>
      </c>
      <c r="C92" s="70" t="s">
        <v>53</v>
      </c>
      <c r="D92" s="63" t="s">
        <v>174</v>
      </c>
      <c r="E92" s="47" t="s">
        <v>122</v>
      </c>
      <c r="F92" s="47" t="s">
        <v>86</v>
      </c>
      <c r="G92" s="48">
        <v>13050</v>
      </c>
      <c r="H92" s="59" t="s">
        <v>59</v>
      </c>
      <c r="I92" s="84"/>
    </row>
    <row r="93" spans="1:9" x14ac:dyDescent="0.2">
      <c r="A93" s="50"/>
      <c r="B93" s="69" t="s">
        <v>55</v>
      </c>
      <c r="C93" s="70" t="s">
        <v>53</v>
      </c>
      <c r="D93" s="63" t="s">
        <v>174</v>
      </c>
      <c r="E93" s="47" t="s">
        <v>103</v>
      </c>
      <c r="F93" s="47" t="s">
        <v>86</v>
      </c>
      <c r="G93" s="48">
        <v>14188</v>
      </c>
      <c r="H93" s="59" t="s">
        <v>59</v>
      </c>
      <c r="I93" s="84"/>
    </row>
    <row r="94" spans="1:9" x14ac:dyDescent="0.2">
      <c r="A94" s="50"/>
      <c r="B94" s="69" t="s">
        <v>55</v>
      </c>
      <c r="C94" s="70" t="s">
        <v>53</v>
      </c>
      <c r="D94" s="63" t="s">
        <v>174</v>
      </c>
      <c r="E94" s="47" t="s">
        <v>123</v>
      </c>
      <c r="F94" s="47" t="s">
        <v>86</v>
      </c>
      <c r="G94" s="48">
        <v>16463</v>
      </c>
      <c r="H94" s="59" t="s">
        <v>59</v>
      </c>
      <c r="I94" s="84"/>
    </row>
    <row r="95" spans="1:9" x14ac:dyDescent="0.2">
      <c r="A95" s="50"/>
      <c r="B95" s="69" t="s">
        <v>55</v>
      </c>
      <c r="C95" s="70" t="s">
        <v>53</v>
      </c>
      <c r="D95" s="63" t="s">
        <v>174</v>
      </c>
      <c r="E95" s="47" t="s">
        <v>124</v>
      </c>
      <c r="F95" s="47" t="s">
        <v>86</v>
      </c>
      <c r="G95" s="48">
        <v>18738</v>
      </c>
      <c r="H95" s="59" t="s">
        <v>59</v>
      </c>
      <c r="I95" s="84"/>
    </row>
    <row r="96" spans="1:9" x14ac:dyDescent="0.2">
      <c r="A96" s="50"/>
      <c r="B96" s="69" t="s">
        <v>55</v>
      </c>
      <c r="C96" s="70" t="s">
        <v>53</v>
      </c>
      <c r="D96" s="63" t="s">
        <v>174</v>
      </c>
      <c r="E96" s="47" t="s">
        <v>125</v>
      </c>
      <c r="F96" s="47" t="s">
        <v>86</v>
      </c>
      <c r="G96" s="48">
        <v>21012</v>
      </c>
      <c r="H96" s="59" t="s">
        <v>59</v>
      </c>
      <c r="I96" s="84"/>
    </row>
    <row r="97" spans="1:9" x14ac:dyDescent="0.2">
      <c r="A97" s="50"/>
      <c r="B97" s="69" t="s">
        <v>55</v>
      </c>
      <c r="C97" s="70" t="s">
        <v>53</v>
      </c>
      <c r="D97" s="63" t="s">
        <v>174</v>
      </c>
      <c r="E97" s="47" t="s">
        <v>126</v>
      </c>
      <c r="F97" s="47" t="s">
        <v>86</v>
      </c>
      <c r="G97" s="48">
        <v>23288</v>
      </c>
      <c r="H97" s="59" t="s">
        <v>59</v>
      </c>
      <c r="I97" s="84"/>
    </row>
    <row r="98" spans="1:9" x14ac:dyDescent="0.2">
      <c r="A98" s="50"/>
      <c r="B98" s="69" t="s">
        <v>55</v>
      </c>
      <c r="C98" s="70" t="s">
        <v>53</v>
      </c>
      <c r="D98" s="63" t="s">
        <v>174</v>
      </c>
      <c r="E98" s="47" t="s">
        <v>105</v>
      </c>
      <c r="F98" s="47" t="s">
        <v>86</v>
      </c>
      <c r="G98" s="48">
        <v>25563</v>
      </c>
      <c r="H98" s="59" t="s">
        <v>60</v>
      </c>
      <c r="I98" s="84"/>
    </row>
    <row r="99" spans="1:9" x14ac:dyDescent="0.2">
      <c r="A99" s="50"/>
      <c r="B99" s="69" t="s">
        <v>55</v>
      </c>
      <c r="C99" s="70" t="s">
        <v>53</v>
      </c>
      <c r="D99" s="63" t="s">
        <v>174</v>
      </c>
      <c r="E99" s="47" t="s">
        <v>107</v>
      </c>
      <c r="F99" s="47" t="s">
        <v>86</v>
      </c>
      <c r="G99" s="48">
        <v>48914</v>
      </c>
      <c r="H99" s="59" t="s">
        <v>60</v>
      </c>
      <c r="I99" s="84"/>
    </row>
    <row r="100" spans="1:9" x14ac:dyDescent="0.2">
      <c r="A100" s="50"/>
      <c r="B100" s="69" t="s">
        <v>55</v>
      </c>
      <c r="C100" s="70" t="s">
        <v>53</v>
      </c>
      <c r="D100" s="63" t="s">
        <v>174</v>
      </c>
      <c r="E100" s="47" t="s">
        <v>111</v>
      </c>
      <c r="F100" s="47" t="s">
        <v>86</v>
      </c>
      <c r="G100" s="48">
        <v>118827</v>
      </c>
      <c r="H100" s="59" t="s">
        <v>60</v>
      </c>
      <c r="I100" s="84"/>
    </row>
    <row r="101" spans="1:9" x14ac:dyDescent="0.2">
      <c r="A101" s="50"/>
      <c r="B101" s="69" t="s">
        <v>55</v>
      </c>
      <c r="C101" s="70" t="s">
        <v>53</v>
      </c>
      <c r="D101" s="63" t="s">
        <v>174</v>
      </c>
      <c r="E101" s="47" t="s">
        <v>113</v>
      </c>
      <c r="F101" s="47" t="s">
        <v>86</v>
      </c>
      <c r="G101" s="48">
        <v>226475</v>
      </c>
      <c r="H101" s="59" t="s">
        <v>61</v>
      </c>
      <c r="I101" s="84"/>
    </row>
    <row r="102" spans="1:9" x14ac:dyDescent="0.2">
      <c r="A102" s="50"/>
      <c r="B102" s="69" t="s">
        <v>55</v>
      </c>
      <c r="C102" s="70" t="s">
        <v>53</v>
      </c>
      <c r="D102" s="63" t="s">
        <v>174</v>
      </c>
      <c r="E102" s="47" t="s">
        <v>134</v>
      </c>
      <c r="F102" s="47" t="s">
        <v>86</v>
      </c>
      <c r="G102" s="48">
        <v>521068</v>
      </c>
      <c r="H102" s="59" t="s">
        <v>61</v>
      </c>
      <c r="I102" s="84"/>
    </row>
    <row r="103" spans="1:9" ht="13.5" thickBot="1" x14ac:dyDescent="0.25">
      <c r="A103" s="51"/>
      <c r="B103" s="71" t="s">
        <v>55</v>
      </c>
      <c r="C103" s="72" t="s">
        <v>53</v>
      </c>
      <c r="D103" s="65" t="s">
        <v>174</v>
      </c>
      <c r="E103" s="55" t="s">
        <v>135</v>
      </c>
      <c r="F103" s="55" t="s">
        <v>86</v>
      </c>
      <c r="G103" s="56">
        <v>1993664</v>
      </c>
      <c r="H103" s="60" t="s">
        <v>62</v>
      </c>
      <c r="I103" s="85"/>
    </row>
    <row r="104" spans="1:9" x14ac:dyDescent="0.2">
      <c r="A104" s="16"/>
      <c r="B104" s="86" t="s">
        <v>342</v>
      </c>
      <c r="C104" s="23" t="s">
        <v>322</v>
      </c>
      <c r="D104" s="18" t="s">
        <v>338</v>
      </c>
      <c r="E104" s="24" t="s">
        <v>339</v>
      </c>
      <c r="F104" s="24" t="s">
        <v>340</v>
      </c>
      <c r="G104" s="3">
        <v>25000</v>
      </c>
      <c r="H104" s="20" t="s">
        <v>341</v>
      </c>
    </row>
    <row r="105" spans="1:9" x14ac:dyDescent="0.2">
      <c r="A105" s="16"/>
      <c r="B105" s="17"/>
      <c r="C105" s="23"/>
      <c r="D105" s="18"/>
      <c r="E105" s="24"/>
      <c r="F105" s="24"/>
      <c r="G105" s="3"/>
      <c r="H105" s="20"/>
    </row>
    <row r="106" spans="1:9" x14ac:dyDescent="0.2">
      <c r="A106" s="16"/>
      <c r="B106" s="17"/>
      <c r="C106" s="23"/>
      <c r="D106" s="18"/>
      <c r="E106" s="24"/>
      <c r="F106" s="24"/>
      <c r="G106" s="3"/>
      <c r="H106" s="20"/>
    </row>
  </sheetData>
  <phoneticPr fontId="3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三级-产品分类</vt:lpstr>
      <vt:lpstr>语音网关</vt:lpstr>
      <vt:lpstr>office365</vt:lpstr>
      <vt:lpstr>Zoom</vt:lpstr>
      <vt:lpstr>SD-WAN</vt:lpstr>
      <vt:lpstr>国际路由优化</vt:lpstr>
      <vt:lpstr>ISP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zhangjie</cp:lastModifiedBy>
  <dcterms:created xsi:type="dcterms:W3CDTF">2020-10-13T05:54:40Z</dcterms:created>
  <dcterms:modified xsi:type="dcterms:W3CDTF">2021-08-11T06:41:55Z</dcterms:modified>
</cp:coreProperties>
</file>